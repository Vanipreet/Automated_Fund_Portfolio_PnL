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ortfolio P&amp;L\"/>
    </mc:Choice>
  </mc:AlternateContent>
  <bookViews>
    <workbookView xWindow="0" yWindow="0" windowWidth="25125" windowHeight="12000" firstSheet="1" activeTab="1"/>
  </bookViews>
  <sheets>
    <sheet name="Sheet1" sheetId="1" state="hidden" r:id="rId1"/>
    <sheet name="Dashboard" sheetId="4" r:id="rId2"/>
    <sheet name="Portfolio_Growth" sheetId="5" r:id="rId3"/>
    <sheet name="Current_Position" sheetId="3" r:id="rId4"/>
    <sheet name="Trans_28072020" sheetId="39" r:id="rId5"/>
    <sheet name="Prices_28072020" sheetId="40" r:id="rId6"/>
    <sheet name="Trans_31072020" sheetId="41" r:id="rId7"/>
    <sheet name="Prices_31072020" sheetId="42" r:id="rId8"/>
    <sheet name="Trans_03082020" sheetId="43" r:id="rId9"/>
    <sheet name="Prices_03082020" sheetId="44" r:id="rId10"/>
    <sheet name="Trans_05082020" sheetId="61" r:id="rId11"/>
    <sheet name="Prices_05082020" sheetId="62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" l="1"/>
  <c r="F5" i="1" l="1"/>
  <c r="F4" i="1"/>
  <c r="F3" i="1"/>
  <c r="F2" i="1"/>
</calcChain>
</file>

<file path=xl/sharedStrings.xml><?xml version="1.0" encoding="utf-8"?>
<sst xmlns="http://schemas.openxmlformats.org/spreadsheetml/2006/main" count="345" uniqueCount="64">
  <si>
    <t>Stocks</t>
  </si>
  <si>
    <t>Symbols</t>
  </si>
  <si>
    <t>Trade Date</t>
  </si>
  <si>
    <t>Quantity</t>
  </si>
  <si>
    <t>Initial Price per share</t>
  </si>
  <si>
    <t>Initial Cost</t>
  </si>
  <si>
    <t>Current Price per share</t>
  </si>
  <si>
    <t>Current Market Value</t>
  </si>
  <si>
    <t>Gain/ Loss</t>
  </si>
  <si>
    <t>Alphabet Inc Class A</t>
  </si>
  <si>
    <t>GOOGL</t>
  </si>
  <si>
    <t>Apple Inc.</t>
  </si>
  <si>
    <t>AAPL</t>
  </si>
  <si>
    <t>Microsoft Corporation</t>
  </si>
  <si>
    <t>MSFT</t>
  </si>
  <si>
    <t>Tesla Inc</t>
  </si>
  <si>
    <t>TSLA</t>
  </si>
  <si>
    <t>Today's date</t>
  </si>
  <si>
    <t>Date</t>
  </si>
  <si>
    <t>Ticker</t>
  </si>
  <si>
    <t>Transaction type</t>
  </si>
  <si>
    <t>Buy</t>
  </si>
  <si>
    <t>Sell</t>
  </si>
  <si>
    <t>Available Cash</t>
  </si>
  <si>
    <t>Total</t>
  </si>
  <si>
    <t>Top Gainers/ Lossers</t>
  </si>
  <si>
    <t>Portfolio Growth</t>
  </si>
  <si>
    <t>Current Holdings</t>
  </si>
  <si>
    <t>Summary</t>
  </si>
  <si>
    <t>Last Price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</si>
  <si>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</si>
  <si>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</si>
  <si>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</si>
  <si>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</si>
  <si>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</si>
  <si>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</si>
  <si>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</si>
  <si>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</si>
  <si>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</si>
  <si>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</si>
  <si>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</si>
  <si>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</si>
  <si>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</si>
  <si>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</si>
  <si>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28/07/2020</t>
  </si>
  <si>
    <t>Total Amount</t>
  </si>
  <si>
    <t>Today's Cash Position</t>
  </si>
  <si>
    <t>Net Cash Position</t>
  </si>
  <si>
    <t>Grand Total</t>
  </si>
  <si>
    <t>Current Share held</t>
  </si>
  <si>
    <t>Net Share held</t>
  </si>
  <si>
    <t>Today's stock price</t>
  </si>
  <si>
    <t>Today's share position</t>
  </si>
  <si>
    <t>Total Share Position</t>
  </si>
  <si>
    <t>Today's Shares held</t>
  </si>
  <si>
    <t>Portfolio P&amp;L %</t>
  </si>
  <si>
    <t>Last P&amp;L Analysis Date</t>
  </si>
  <si>
    <t>Current Portfolio Analysis Date</t>
  </si>
  <si>
    <t>Current Share Price</t>
  </si>
  <si>
    <t>Today's Date</t>
  </si>
  <si>
    <t>Top Losers</t>
  </si>
  <si>
    <t>Top Gainers</t>
  </si>
  <si>
    <t>31/07/2020</t>
  </si>
  <si>
    <t>Portfolio Position - 05/08/2020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</si>
</sst>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7" formatCode="dd\-mm\-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1" applyFont="1"/>
    <xf numFmtId="0" fontId="0" fillId="0" borderId="0" xfId="0"/>
    <xf numFmtId="0" fontId="0" fillId="0" borderId="0" xfId="0"/>
    <xf numFmtId="0" fontId="0" fillId="0" borderId="0" xfId="0" applyAlignment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0" fillId="2" borderId="0" xfId="0" applyFill="1"/>
    <xf numFmtId="9" fontId="0" fillId="6" borderId="1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/>
    <xf numFmtId="0" fontId="0" fillId="0" borderId="0" xfId="0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0" xfId="0"/>
    <xf numFmtId="22" fontId="0" fillId="0" borderId="0" xfId="0" applyNumberFormat="1"/>
    <xf numFmtId="167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numRef>
              <c:f>Portfolio_Growth!$A$2:$A$36</c:f>
              <c:numCache>
                <c:formatCode>m/d/yyyy</c:formatCode>
                <c:ptCount val="35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</c:numCache>
            </c:numRef>
          </c:cat>
          <c:val>
            <c:numRef>
              <c:f>Portfolio_Growth!$B$2:$B$36</c:f>
              <c:numCache>
                <c:formatCode>General</c:formatCode>
                <c:ptCount val="35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  <c:pt idx="30">
                  <c:v>852188.83482067601</c:v>
                </c:pt>
                <c:pt idx="31">
                  <c:v>852188.83482067601</c:v>
                </c:pt>
                <c:pt idx="32">
                  <c:v>852188.83482067601</c:v>
                </c:pt>
                <c:pt idx="33">
                  <c:v>852188.83482067601</c:v>
                </c:pt>
                <c:pt idx="34">
                  <c:v>852188.83482067601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C-44BA-B13C-5F382906C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9890864"/>
        <c:axId val="389893816"/>
      </c:lineChart>
      <c:dateAx>
        <c:axId val="3898908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389893816"/>
        <c:crosses val="autoZero"/>
        <c:auto val="1"/>
        <c:lblOffset val="100"/>
        <c:baseTimeUnit val="days"/>
      </c:dateAx>
      <c:valAx>
        <c:axId val="389893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38989086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26</xdr:row>
          <xdr:rowOff>9525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Portfolio_PnL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10</xdr:row>
      <xdr:rowOff>196850</xdr:rowOff>
    </xdr:from>
    <xdr:to>
      <xdr:col>5</xdr:col>
      <xdr:colOff>1266825</xdr:colOff>
      <xdr:row>24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workbookViewId="0">
      <selection activeCell="E2" sqref="E2:E5"/>
    </sheetView>
  </sheetViews>
  <sheetFormatPr defaultRowHeight="15" x14ac:dyDescent="0.25"/>
  <cols>
    <col min="1" max="1" width="28" bestFit="1" customWidth="1"/>
    <col min="2" max="2" width="8.42578125" bestFit="1" customWidth="1"/>
    <col min="3" max="3" width="10.5703125" bestFit="1" customWidth="1"/>
    <col min="4" max="4" width="8.7109375" bestFit="1" customWidth="1"/>
    <col min="5" max="5" width="20" bestFit="1" customWidth="1"/>
    <col min="6" max="6" width="10.42578125" bestFit="1" customWidth="1"/>
    <col min="7" max="7" width="12" bestFit="1" customWidth="1"/>
    <col min="8" max="8" width="21.7109375" bestFit="1" customWidth="1"/>
    <col min="9" max="9" width="20.28515625" bestFit="1" customWidth="1"/>
    <col min="10" max="10" width="10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17</v>
      </c>
      <c r="H1" t="s">
        <v>6</v>
      </c>
      <c r="I1" t="s">
        <v>7</v>
      </c>
      <c r="J1" t="s">
        <v>8</v>
      </c>
    </row>
    <row r="2" spans="1:10" x14ac:dyDescent="0.25">
      <c r="A2" t="s">
        <v>9</v>
      </c>
      <c r="B2" t="s">
        <v>10</v>
      </c>
      <c r="C2" s="1">
        <v>44009</v>
      </c>
      <c r="D2">
        <v>100</v>
      </c>
      <c r="E2">
        <v>1397.4965400000001</v>
      </c>
      <c r="F2">
        <f>E2*D2</f>
        <v>139749.65400000001</v>
      </c>
      <c r="G2" s="1">
        <v>44039</v>
      </c>
      <c r="H2">
        <v>1210.3911599999999</v>
      </c>
    </row>
    <row r="3" spans="1:10" x14ac:dyDescent="0.25">
      <c r="A3" t="s">
        <v>11</v>
      </c>
      <c r="B3" t="s">
        <v>12</v>
      </c>
      <c r="C3" s="1">
        <v>44009</v>
      </c>
      <c r="D3">
        <v>50</v>
      </c>
      <c r="E3">
        <v>364.11487</v>
      </c>
      <c r="F3">
        <f>D3*E3</f>
        <v>18205.7435</v>
      </c>
      <c r="G3" s="1">
        <v>44039</v>
      </c>
      <c r="H3">
        <v>201.54497000000001</v>
      </c>
    </row>
    <row r="4" spans="1:10" x14ac:dyDescent="0.25">
      <c r="A4" t="s">
        <v>13</v>
      </c>
      <c r="B4" t="s">
        <v>14</v>
      </c>
      <c r="C4" s="1">
        <v>44009</v>
      </c>
      <c r="D4">
        <v>60</v>
      </c>
      <c r="E4">
        <v>201.54497000000001</v>
      </c>
      <c r="F4">
        <f t="shared" ref="F4:F5" si="0">D4*E4</f>
        <v>12092.698200000001</v>
      </c>
      <c r="G4" s="1">
        <v>44039</v>
      </c>
      <c r="H4">
        <v>364.11487</v>
      </c>
    </row>
    <row r="5" spans="1:10" x14ac:dyDescent="0.25">
      <c r="A5" t="s">
        <v>15</v>
      </c>
      <c r="B5" t="s">
        <v>16</v>
      </c>
      <c r="C5" s="1">
        <v>44009</v>
      </c>
      <c r="D5">
        <v>100</v>
      </c>
      <c r="E5">
        <v>1210.3911599999999</v>
      </c>
      <c r="F5">
        <f t="shared" si="0"/>
        <v>121039.11599999999</v>
      </c>
      <c r="G5" s="1">
        <v>44039</v>
      </c>
      <c r="H5">
        <v>1397.4965400000001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9"/>
  <sheetViews>
    <sheetView tabSelected="1" workbookViewId="0">
      <selection activeCell="F7" sqref="F7:F10"/>
    </sheetView>
  </sheetViews>
  <sheetFormatPr defaultRowHeight="15" x14ac:dyDescent="0.25"/>
  <cols>
    <col min="2" max="2" width="28.42578125" bestFit="1" customWidth="1"/>
    <col min="3" max="3" width="12" bestFit="1" customWidth="1"/>
    <col min="6" max="6" width="20.85546875" bestFit="1" customWidth="1"/>
    <col min="7" max="7" width="15.85546875" bestFit="1" customWidth="1"/>
    <col min="8" max="8" width="12.7109375" customWidth="1"/>
  </cols>
  <sheetData>
    <row r="1" spans="1:8" s="4" customFormat="1" ht="15.75" thickBot="1" x14ac:dyDescent="0.3">
      <c r="A1" s="14"/>
      <c r="B1" s="14"/>
      <c r="C1" s="14"/>
      <c r="D1" s="14"/>
      <c r="E1" s="14"/>
      <c r="F1" s="14"/>
      <c r="G1" s="14"/>
      <c r="H1" s="14"/>
    </row>
    <row r="2" spans="1:8" s="4" customFormat="1" ht="15.75" thickBot="1" x14ac:dyDescent="0.3">
      <c r="A2" s="14"/>
      <c r="B2" s="7" t="s">
        <v>63</v>
      </c>
      <c r="C2" s="6">
        <v>947307.24975935335</v>
      </c>
      <c r="D2" s="14"/>
      <c r="E2" s="14"/>
      <c r="F2" s="7" t="s">
        <v>59</v>
      </c>
      <c r="G2" s="8">
        <f>Current_Position!C7</f>
        <v>43959</v>
      </c>
      <c r="H2" s="14"/>
    </row>
    <row r="3" spans="1:8" s="4" customFormat="1" ht="15.75" thickBot="1" x14ac:dyDescent="0.3">
      <c r="A3" s="14"/>
      <c r="B3" s="7" t="s">
        <v>55</v>
      </c>
      <c r="C3" s="13">
        <v>0.18413406219919168</v>
      </c>
      <c r="D3" s="14"/>
      <c r="E3" s="14"/>
      <c r="F3" s="7" t="s">
        <v>56</v>
      </c>
      <c r="G3" s="8">
        <v>44048</v>
      </c>
      <c r="H3" s="14"/>
    </row>
    <row r="4" spans="1:8" ht="15.75" thickBot="1" x14ac:dyDescent="0.3">
      <c r="A4" s="14"/>
      <c r="B4" s="14"/>
      <c r="C4" s="14"/>
      <c r="D4" s="14"/>
      <c r="E4" s="14"/>
      <c r="F4" s="14"/>
      <c r="G4" s="14"/>
      <c r="H4" s="14"/>
    </row>
    <row r="5" spans="1:8" ht="15.75" thickBot="1" x14ac:dyDescent="0.3">
      <c r="A5" s="18" t="s">
        <v>25</v>
      </c>
      <c r="B5" s="19"/>
      <c r="C5" s="19"/>
      <c r="D5" s="19"/>
      <c r="E5" s="19"/>
      <c r="F5" s="19"/>
      <c r="G5" s="18" t="s">
        <v>27</v>
      </c>
      <c r="H5" s="18"/>
    </row>
    <row r="6" spans="1:8" ht="15.75" thickBot="1" x14ac:dyDescent="0.3">
      <c r="A6" s="20" t="s">
        <v>60</v>
      </c>
      <c r="B6" s="20"/>
      <c r="C6" s="14"/>
      <c r="D6" s="14"/>
      <c r="E6" s="20" t="s">
        <v>61</v>
      </c>
      <c r="F6" s="21"/>
      <c r="G6" s="6" t="s">
        <v>30</v>
      </c>
      <c r="H6" s="6">
        <v>842</v>
      </c>
    </row>
    <row r="7" spans="1:8" ht="15.75" thickBot="1" x14ac:dyDescent="0.3">
      <c r="A7" s="7" t="s">
        <v>42</v>
      </c>
      <c r="B7" s="9">
        <v>-1.8959540516722773E-2</v>
      </c>
      <c r="C7" s="14"/>
      <c r="D7" s="14"/>
      <c r="E7" s="7" t="s">
        <v>32</v>
      </c>
      <c r="F7" s="10">
        <v>0.25476977517399485</v>
      </c>
      <c r="G7" s="6" t="s">
        <v>31</v>
      </c>
      <c r="H7" s="6">
        <v>866</v>
      </c>
    </row>
    <row r="8" spans="1:8" ht="15.75" thickBot="1" x14ac:dyDescent="0.3">
      <c r="A8" s="7" t="s">
        <v>37</v>
      </c>
      <c r="B8" s="9">
        <v>-1.2964398127812913E-2</v>
      </c>
      <c r="C8" s="14"/>
      <c r="D8" s="14"/>
      <c r="E8" s="7" t="s">
        <v>35</v>
      </c>
      <c r="F8" s="10">
        <v>0.11223678445092578</v>
      </c>
      <c r="G8" s="6" t="s">
        <v>32</v>
      </c>
      <c r="H8" s="6">
        <v>803</v>
      </c>
    </row>
    <row r="9" spans="1:8" ht="15.75" thickBot="1" x14ac:dyDescent="0.3">
      <c r="A9" s="7" t="s">
        <v>39</v>
      </c>
      <c r="B9" s="9">
        <v>-1.2491331963619123E-2</v>
      </c>
      <c r="C9" s="14"/>
      <c r="D9" s="14"/>
      <c r="E9" s="7" t="s">
        <v>41</v>
      </c>
      <c r="F9" s="10">
        <v>1.6140033182052642E-2</v>
      </c>
      <c r="G9" s="6" t="s">
        <v>33</v>
      </c>
      <c r="H9" s="6">
        <v>944</v>
      </c>
    </row>
    <row r="10" spans="1:8" ht="15.75" thickBot="1" x14ac:dyDescent="0.3">
      <c r="A10" s="7" t="s">
        <v>38</v>
      </c>
      <c r="B10" s="9">
        <v>-7.0171958601530386E-3</v>
      </c>
      <c r="C10" s="14"/>
      <c r="D10" s="14"/>
      <c r="E10" s="7" t="s">
        <v>40</v>
      </c>
      <c r="F10" s="10">
        <v>8.0841392685789461E-3</v>
      </c>
      <c r="G10" s="6" t="s">
        <v>34</v>
      </c>
      <c r="H10" s="6">
        <v>950</v>
      </c>
    </row>
    <row r="11" spans="1:8" ht="15.75" thickBot="1" x14ac:dyDescent="0.3">
      <c r="A11" s="14"/>
      <c r="B11" s="17" t="s">
        <v>26</v>
      </c>
      <c r="C11" s="17"/>
      <c r="D11" s="17"/>
      <c r="E11" s="17"/>
      <c r="F11" s="14"/>
      <c r="G11" s="6" t="s">
        <v>35</v>
      </c>
      <c r="H11" s="6">
        <v>962</v>
      </c>
    </row>
    <row r="12" spans="1:8" ht="15.75" thickBot="1" x14ac:dyDescent="0.3">
      <c r="A12" s="14"/>
      <c r="B12" s="14"/>
      <c r="C12" s="14"/>
      <c r="D12" s="14"/>
      <c r="E12" s="14"/>
      <c r="F12" s="14"/>
      <c r="G12" s="6" t="s">
        <v>36</v>
      </c>
      <c r="H12" s="6">
        <v>617</v>
      </c>
    </row>
    <row r="13" spans="1:8" ht="15.75" thickBot="1" x14ac:dyDescent="0.3">
      <c r="A13" s="14"/>
      <c r="B13" s="14"/>
      <c r="C13" s="14"/>
      <c r="D13" s="14"/>
      <c r="E13" s="14"/>
      <c r="F13" s="14"/>
      <c r="G13" s="6" t="s">
        <v>37</v>
      </c>
      <c r="H13" s="6">
        <v>659</v>
      </c>
    </row>
    <row r="14" spans="1:8" ht="15.75" thickBot="1" x14ac:dyDescent="0.3">
      <c r="A14" s="14"/>
      <c r="B14" s="14"/>
      <c r="C14" s="14"/>
      <c r="D14" s="14"/>
      <c r="E14" s="14"/>
      <c r="F14" s="14"/>
      <c r="G14" s="6" t="s">
        <v>38</v>
      </c>
      <c r="H14" s="6">
        <v>545</v>
      </c>
    </row>
    <row r="15" spans="1:8" ht="15.75" thickBot="1" x14ac:dyDescent="0.3">
      <c r="A15" s="14"/>
      <c r="B15" s="14"/>
      <c r="C15" s="14"/>
      <c r="D15" s="14"/>
      <c r="E15" s="14"/>
      <c r="F15" s="14"/>
      <c r="G15" s="6" t="s">
        <v>39</v>
      </c>
      <c r="H15" s="6">
        <v>866</v>
      </c>
    </row>
    <row r="16" spans="1:8" ht="15.75" thickBot="1" x14ac:dyDescent="0.3">
      <c r="A16" s="14"/>
      <c r="B16" s="14"/>
      <c r="C16" s="14"/>
      <c r="D16" s="14"/>
      <c r="E16" s="14"/>
      <c r="F16" s="14"/>
      <c r="G16" s="6" t="s">
        <v>40</v>
      </c>
      <c r="H16" s="6">
        <v>806</v>
      </c>
    </row>
    <row r="17" spans="1:8" ht="15.75" thickBot="1" x14ac:dyDescent="0.3">
      <c r="A17" s="14"/>
      <c r="B17" s="14"/>
      <c r="C17" s="14"/>
      <c r="D17" s="14"/>
      <c r="E17" s="14"/>
      <c r="F17" s="14"/>
      <c r="G17" s="6" t="s">
        <v>41</v>
      </c>
      <c r="H17" s="6">
        <v>468</v>
      </c>
    </row>
    <row r="18" spans="1:8" ht="15.75" thickBot="1" x14ac:dyDescent="0.3">
      <c r="A18" s="14"/>
      <c r="B18" s="14"/>
      <c r="C18" s="14"/>
      <c r="D18" s="14"/>
      <c r="E18" s="14"/>
      <c r="F18" s="14"/>
      <c r="G18" s="6" t="s">
        <v>42</v>
      </c>
      <c r="H18" s="6">
        <v>54</v>
      </c>
    </row>
    <row r="19" spans="1:8" ht="15.75" thickBot="1" x14ac:dyDescent="0.3">
      <c r="G19" s="6" t="s">
        <v>43</v>
      </c>
      <c r="H19" s="6">
        <v>45</v>
      </c>
    </row>
  </sheetData>
  <mergeCells count="5">
    <mergeCell ref="B11:E11"/>
    <mergeCell ref="G5:H5"/>
    <mergeCell ref="A5:F5"/>
    <mergeCell ref="A6:B6"/>
    <mergeCell ref="E6:F6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ortfolio_PnL">
                <anchor moveWithCells="1" sizeWithCells="1">
                  <from>
                    <xdr:col>1</xdr:col>
                    <xdr:colOff>9525</xdr:colOff>
                    <xdr:row>26</xdr:row>
                    <xdr:rowOff>9525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7"/>
  <sheetViews>
    <sheetView topLeftCell="A3" workbookViewId="0">
      <selection activeCell="B37" sqref="B37"/>
    </sheetView>
  </sheetViews>
  <sheetFormatPr defaultRowHeight="15" x14ac:dyDescent="0.25"/>
  <cols>
    <col min="1" max="1" width="10.7109375" bestFit="1" customWidth="1"/>
    <col min="2" max="2" width="21.28515625" customWidth="1"/>
  </cols>
  <sheetData>
    <row r="1" spans="1:2" x14ac:dyDescent="0.25">
      <c r="A1" t="s">
        <v>18</v>
      </c>
      <c r="B1" t="s">
        <v>26</v>
      </c>
    </row>
    <row r="2" spans="1:2" x14ac:dyDescent="0.25">
      <c r="A2" s="1">
        <v>44013</v>
      </c>
      <c r="B2" s="4">
        <v>800000.55538744119</v>
      </c>
    </row>
    <row r="3" spans="1:2" x14ac:dyDescent="0.25">
      <c r="A3" s="1">
        <v>44014</v>
      </c>
      <c r="B3" s="4">
        <v>800000.55538744119</v>
      </c>
    </row>
    <row r="4" spans="1:2" x14ac:dyDescent="0.25">
      <c r="A4" s="1">
        <v>44015</v>
      </c>
      <c r="B4" s="4">
        <v>800033.67707008927</v>
      </c>
    </row>
    <row r="5" spans="1:2" x14ac:dyDescent="0.25">
      <c r="A5" s="1">
        <v>44016</v>
      </c>
      <c r="B5" s="4">
        <v>800014.20467392751</v>
      </c>
    </row>
    <row r="6" spans="1:2" x14ac:dyDescent="0.25">
      <c r="A6" s="1">
        <v>44017</v>
      </c>
      <c r="B6" s="4">
        <v>800007.54265237891</v>
      </c>
    </row>
    <row r="7" spans="1:2" x14ac:dyDescent="0.25">
      <c r="A7" s="1">
        <v>44018</v>
      </c>
      <c r="B7" s="4">
        <v>800091.88136063959</v>
      </c>
    </row>
    <row r="8" spans="1:2" x14ac:dyDescent="0.25">
      <c r="A8" s="1">
        <v>44019</v>
      </c>
      <c r="B8" s="4">
        <v>800029.46588548622</v>
      </c>
    </row>
    <row r="9" spans="1:2" x14ac:dyDescent="0.25">
      <c r="A9" s="1">
        <v>44020</v>
      </c>
      <c r="B9" s="4">
        <v>800045.69376250519</v>
      </c>
    </row>
    <row r="10" spans="1:2" x14ac:dyDescent="0.25">
      <c r="A10" s="1">
        <v>44021</v>
      </c>
      <c r="B10" s="4">
        <v>800043.34129579854</v>
      </c>
    </row>
    <row r="11" spans="1:2" x14ac:dyDescent="0.25">
      <c r="A11" s="1">
        <v>44022</v>
      </c>
      <c r="B11" s="4">
        <v>800050.89516742271</v>
      </c>
    </row>
    <row r="12" spans="1:2" x14ac:dyDescent="0.25">
      <c r="A12" s="1">
        <v>44023</v>
      </c>
      <c r="B12" s="4">
        <v>800038.2076928413</v>
      </c>
    </row>
    <row r="13" spans="1:2" x14ac:dyDescent="0.25">
      <c r="A13" s="1">
        <v>44024</v>
      </c>
      <c r="B13" s="4">
        <v>800005.31198967935</v>
      </c>
    </row>
    <row r="14" spans="1:2" x14ac:dyDescent="0.25">
      <c r="A14" s="1">
        <v>44025</v>
      </c>
      <c r="B14" s="4">
        <v>800071.01864681172</v>
      </c>
    </row>
    <row r="15" spans="1:2" x14ac:dyDescent="0.25">
      <c r="A15" s="1">
        <v>44026</v>
      </c>
      <c r="B15" s="4">
        <v>800081.55743662233</v>
      </c>
    </row>
    <row r="16" spans="1:2" x14ac:dyDescent="0.25">
      <c r="A16" s="1">
        <v>44027</v>
      </c>
      <c r="B16" s="4">
        <v>800024.97087999596</v>
      </c>
    </row>
    <row r="17" spans="1:2" x14ac:dyDescent="0.25">
      <c r="A17" s="1">
        <v>44028</v>
      </c>
      <c r="B17" s="4">
        <v>800073.68256606325</v>
      </c>
    </row>
    <row r="18" spans="1:2" x14ac:dyDescent="0.25">
      <c r="A18" s="1">
        <v>44029</v>
      </c>
      <c r="B18" s="4">
        <v>800036.39744636999</v>
      </c>
    </row>
    <row r="19" spans="1:2" x14ac:dyDescent="0.25">
      <c r="A19" s="1">
        <v>44030</v>
      </c>
      <c r="B19" s="4">
        <v>800053.03498878423</v>
      </c>
    </row>
    <row r="20" spans="1:2" x14ac:dyDescent="0.25">
      <c r="A20" s="1">
        <v>44031</v>
      </c>
      <c r="B20" s="4">
        <v>800039.41458538489</v>
      </c>
    </row>
    <row r="21" spans="1:2" x14ac:dyDescent="0.25">
      <c r="A21" s="1">
        <v>44032</v>
      </c>
      <c r="B21" s="4">
        <v>800032.43370827031</v>
      </c>
    </row>
    <row r="22" spans="1:2" x14ac:dyDescent="0.25">
      <c r="A22" s="1">
        <v>44033</v>
      </c>
      <c r="B22" s="4">
        <v>800091.53162448551</v>
      </c>
    </row>
    <row r="23" spans="1:2" x14ac:dyDescent="0.25">
      <c r="A23" s="1">
        <v>44034</v>
      </c>
      <c r="B23" s="4">
        <v>800014.76876875502</v>
      </c>
    </row>
    <row r="24" spans="1:2" x14ac:dyDescent="0.25">
      <c r="A24" s="1">
        <v>44035</v>
      </c>
      <c r="B24" s="4">
        <v>800070.60252994741</v>
      </c>
    </row>
    <row r="25" spans="1:2" x14ac:dyDescent="0.25">
      <c r="A25" s="1">
        <v>44036</v>
      </c>
      <c r="B25" s="4">
        <v>800077.48325859476</v>
      </c>
    </row>
    <row r="26" spans="1:2" x14ac:dyDescent="0.25">
      <c r="A26" s="1">
        <v>44037</v>
      </c>
      <c r="B26" s="4">
        <v>800010.5831677299</v>
      </c>
    </row>
    <row r="27" spans="1:2" x14ac:dyDescent="0.25">
      <c r="A27" s="1">
        <v>44038</v>
      </c>
      <c r="B27" s="4">
        <v>800074.73894794378</v>
      </c>
    </row>
    <row r="28" spans="1:2" x14ac:dyDescent="0.25">
      <c r="A28" s="1">
        <v>44039</v>
      </c>
      <c r="B28" s="4">
        <v>800045.39679654886</v>
      </c>
    </row>
    <row r="29" spans="1:2" x14ac:dyDescent="0.25">
      <c r="A29" s="1">
        <v>44040</v>
      </c>
      <c r="B29" s="4">
        <v>800013.36418388039</v>
      </c>
    </row>
    <row r="30" spans="1:2" x14ac:dyDescent="0.25">
      <c r="A30" s="1">
        <v>44041</v>
      </c>
      <c r="B30">
        <v>793603.75667156884</v>
      </c>
    </row>
    <row r="31" spans="1:2" x14ac:dyDescent="0.25">
      <c r="A31" s="1">
        <v>44042</v>
      </c>
      <c r="B31">
        <v>496757.99605222844</v>
      </c>
    </row>
    <row r="32" spans="1:2" x14ac:dyDescent="0.25">
      <c r="A32" s="1">
        <v>44043</v>
      </c>
      <c r="B32">
        <v>852188.83482067601</v>
      </c>
    </row>
    <row r="33" spans="1:2" x14ac:dyDescent="0.25">
      <c r="A33" s="1">
        <v>44044</v>
      </c>
      <c r="B33">
        <v>852188.83482067601</v>
      </c>
    </row>
    <row r="34" spans="1:2" x14ac:dyDescent="0.25">
      <c r="A34" s="1">
        <v>44045</v>
      </c>
      <c r="B34">
        <v>852188.83482067601</v>
      </c>
    </row>
    <row r="35" spans="1:2" x14ac:dyDescent="0.25">
      <c r="A35" s="1">
        <v>44046</v>
      </c>
      <c r="B35">
        <v>852188.83482067601</v>
      </c>
    </row>
    <row r="36" spans="1:2" x14ac:dyDescent="0.25">
      <c r="A36" s="1">
        <v>44047</v>
      </c>
      <c r="B36">
        <v>852188.83482067601</v>
      </c>
    </row>
    <row r="37" spans="1:2" x14ac:dyDescent="0.25">
      <c r="A37" s="1">
        <v>44048</v>
      </c>
      <c r="B37">
        <v>947307.24975935335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9"/>
  <sheetViews>
    <sheetView topLeftCell="D1" workbookViewId="0">
      <selection activeCell="A20" sqref="A20"/>
    </sheetView>
  </sheetViews>
  <sheetFormatPr defaultRowHeight="15" x14ac:dyDescent="0.25"/>
  <cols>
    <col min="1" max="1" width="18.85546875" bestFit="1" customWidth="1"/>
    <col min="2" max="2" width="20.140625" bestFit="1" customWidth="1"/>
    <col min="3" max="3" width="28.85546875" bestFit="1" customWidth="1"/>
    <col min="4" max="4" width="17.85546875" style="4" bestFit="1" customWidth="1"/>
    <col min="5" max="5" width="21.140625" style="4" customWidth="1"/>
    <col min="6" max="6" width="21" bestFit="1" customWidth="1"/>
    <col min="7" max="8" width="17.7109375" bestFit="1" customWidth="1"/>
    <col min="9" max="9" width="20.85546875" bestFit="1" customWidth="1"/>
  </cols>
  <sheetData>
    <row r="1" spans="1:10" x14ac:dyDescent="0.25">
      <c r="A1" t="s">
        <v>18</v>
      </c>
      <c r="B1" t="s">
        <v>28</v>
      </c>
      <c r="C1" t="s">
        <v>24</v>
      </c>
    </row>
    <row r="2" spans="1:10" x14ac:dyDescent="0.25">
      <c r="B2" t="s">
        <v>23</v>
      </c>
      <c r="C2" s="2">
        <v>500000</v>
      </c>
      <c r="D2" s="2"/>
      <c r="E2" s="2"/>
    </row>
    <row r="3" spans="1:10" x14ac:dyDescent="0.25">
      <c r="A3" s="1">
        <v>44048</v>
      </c>
      <c r="B3" s="4" t="s">
        <v>46</v>
      </c>
      <c r="C3" s="4">
        <v>-1070.3490551817913</v>
      </c>
      <c r="F3" s="4"/>
      <c r="G3" s="4"/>
    </row>
    <row r="4" spans="1:10" x14ac:dyDescent="0.25">
      <c r="A4" s="1">
        <v>44048</v>
      </c>
      <c r="B4" t="s">
        <v>47</v>
      </c>
      <c r="C4">
        <v>498929.65094481822</v>
      </c>
    </row>
    <row r="5" spans="1:10" x14ac:dyDescent="0.25">
      <c r="I5" s="5"/>
      <c r="J5" s="5"/>
    </row>
    <row r="6" spans="1:10" x14ac:dyDescent="0.25">
      <c r="A6" t="s">
        <v>59</v>
      </c>
      <c r="B6" t="s">
        <v>19</v>
      </c>
      <c r="C6" s="4" t="s">
        <v>57</v>
      </c>
      <c r="D6" t="s">
        <v>49</v>
      </c>
      <c r="E6" s="4" t="s">
        <v>58</v>
      </c>
      <c r="F6" t="s">
        <v>54</v>
      </c>
      <c r="G6" t="s">
        <v>50</v>
      </c>
      <c r="H6" t="s">
        <v>51</v>
      </c>
      <c r="I6" t="s">
        <v>52</v>
      </c>
    </row>
    <row r="7" spans="1:10" x14ac:dyDescent="0.25">
      <c r="A7" s="11">
        <v>44048</v>
      </c>
      <c r="B7" s="3" t="s">
        <v>30</v>
      </c>
      <c r="C7" s="1">
        <v>43959</v>
      </c>
      <c r="D7">
        <v>786</v>
      </c>
      <c r="E7" s="16">
        <v>86.250544644405664</v>
      </c>
      <c r="F7">
        <v>56</v>
      </c>
      <c r="G7">
        <v>842</v>
      </c>
      <c r="H7">
        <v>86.250544644405664</v>
      </c>
      <c r="I7">
        <v>72622.958590589566</v>
      </c>
    </row>
    <row r="8" spans="1:10" x14ac:dyDescent="0.25">
      <c r="A8" s="11">
        <v>44048</v>
      </c>
      <c r="B8" s="3" t="s">
        <v>31</v>
      </c>
      <c r="C8" s="1">
        <v>43959</v>
      </c>
      <c r="D8" s="3">
        <v>806</v>
      </c>
      <c r="E8" s="16">
        <v>86.045662606016336</v>
      </c>
      <c r="F8">
        <v>60</v>
      </c>
      <c r="G8">
        <v>866</v>
      </c>
      <c r="H8">
        <v>86.045662606016336</v>
      </c>
      <c r="I8">
        <v>74515.543816810154</v>
      </c>
    </row>
    <row r="9" spans="1:10" x14ac:dyDescent="0.25">
      <c r="A9" s="11">
        <v>44048</v>
      </c>
      <c r="B9" s="3" t="s">
        <v>32</v>
      </c>
      <c r="C9" s="1">
        <v>43959</v>
      </c>
      <c r="D9" s="3">
        <v>757</v>
      </c>
      <c r="E9" s="16">
        <v>2.485290423104999</v>
      </c>
      <c r="F9">
        <v>46</v>
      </c>
      <c r="G9">
        <v>803</v>
      </c>
      <c r="H9">
        <v>2.485290423104999</v>
      </c>
      <c r="I9">
        <v>1995.6882097533141</v>
      </c>
    </row>
    <row r="10" spans="1:10" x14ac:dyDescent="0.25">
      <c r="A10" s="11">
        <v>44048</v>
      </c>
      <c r="B10" s="3" t="s">
        <v>33</v>
      </c>
      <c r="C10" s="1">
        <v>43959</v>
      </c>
      <c r="D10" s="3">
        <v>866</v>
      </c>
      <c r="E10" s="16">
        <v>80.238870541275119</v>
      </c>
      <c r="F10">
        <v>78</v>
      </c>
      <c r="G10">
        <v>944</v>
      </c>
      <c r="H10">
        <v>80.238870541275119</v>
      </c>
      <c r="I10">
        <v>75745.493790963708</v>
      </c>
    </row>
    <row r="11" spans="1:10" x14ac:dyDescent="0.25">
      <c r="A11" s="11">
        <v>44048</v>
      </c>
      <c r="B11" s="3" t="s">
        <v>34</v>
      </c>
      <c r="C11" s="1">
        <v>43959</v>
      </c>
      <c r="D11" s="3">
        <v>873</v>
      </c>
      <c r="E11" s="16">
        <v>72.358586949343305</v>
      </c>
      <c r="F11">
        <v>77</v>
      </c>
      <c r="G11">
        <v>950</v>
      </c>
      <c r="H11">
        <v>72.358586949343305</v>
      </c>
      <c r="I11">
        <v>68740.657601876141</v>
      </c>
    </row>
    <row r="12" spans="1:10" x14ac:dyDescent="0.25">
      <c r="A12" s="11">
        <v>44048</v>
      </c>
      <c r="B12" s="3" t="s">
        <v>35</v>
      </c>
      <c r="C12" s="1">
        <v>43959</v>
      </c>
      <c r="D12" s="3">
        <v>880</v>
      </c>
      <c r="E12" s="16">
        <v>2.5607516055306867</v>
      </c>
      <c r="F12">
        <v>82</v>
      </c>
      <c r="G12">
        <v>962</v>
      </c>
      <c r="H12">
        <v>2.5607516055306867</v>
      </c>
      <c r="I12">
        <v>2463.4430445205207</v>
      </c>
    </row>
    <row r="13" spans="1:10" x14ac:dyDescent="0.25">
      <c r="A13" s="11">
        <v>44048</v>
      </c>
      <c r="B13" s="3" t="s">
        <v>36</v>
      </c>
      <c r="C13" s="1">
        <v>43959</v>
      </c>
      <c r="D13" s="3">
        <v>594</v>
      </c>
      <c r="E13" s="16">
        <v>55.362113118106663</v>
      </c>
      <c r="F13">
        <v>23</v>
      </c>
      <c r="G13">
        <v>617</v>
      </c>
      <c r="H13">
        <v>55.362113118106663</v>
      </c>
      <c r="I13">
        <v>34158.423793871814</v>
      </c>
    </row>
    <row r="14" spans="1:10" x14ac:dyDescent="0.25">
      <c r="A14" s="11">
        <v>44048</v>
      </c>
      <c r="B14" s="3" t="s">
        <v>37</v>
      </c>
      <c r="C14" s="1">
        <v>43959</v>
      </c>
      <c r="D14" s="3">
        <v>634</v>
      </c>
      <c r="E14" s="16">
        <v>21.792955259353171</v>
      </c>
      <c r="F14">
        <v>25</v>
      </c>
      <c r="G14">
        <v>659</v>
      </c>
      <c r="H14">
        <v>21.792955259353171</v>
      </c>
      <c r="I14">
        <v>14361.557515913739</v>
      </c>
    </row>
    <row r="15" spans="1:10" x14ac:dyDescent="0.25">
      <c r="A15" s="11">
        <v>44048</v>
      </c>
      <c r="B15" s="3" t="s">
        <v>38</v>
      </c>
      <c r="C15" s="1">
        <v>43959</v>
      </c>
      <c r="D15" s="3">
        <v>536</v>
      </c>
      <c r="E15" s="16">
        <v>57.975291133839953</v>
      </c>
      <c r="F15">
        <v>9</v>
      </c>
      <c r="G15">
        <v>545</v>
      </c>
      <c r="H15">
        <v>57.975291133839953</v>
      </c>
      <c r="I15">
        <v>31596.533667942775</v>
      </c>
    </row>
    <row r="16" spans="1:10" x14ac:dyDescent="0.25">
      <c r="A16" s="11">
        <v>44048</v>
      </c>
      <c r="B16" s="3" t="s">
        <v>39</v>
      </c>
      <c r="C16" s="1">
        <v>43959</v>
      </c>
      <c r="D16" s="3">
        <v>803</v>
      </c>
      <c r="E16" s="16">
        <v>8.9841786809455648</v>
      </c>
      <c r="F16">
        <v>63</v>
      </c>
      <c r="G16">
        <v>866</v>
      </c>
      <c r="H16">
        <v>8.9841786809455648</v>
      </c>
      <c r="I16">
        <v>7780.2987376988594</v>
      </c>
    </row>
    <row r="17" spans="1:9" x14ac:dyDescent="0.25">
      <c r="A17" s="11">
        <v>44048</v>
      </c>
      <c r="B17" s="3" t="s">
        <v>40</v>
      </c>
      <c r="C17" s="1">
        <v>43959</v>
      </c>
      <c r="D17" s="3">
        <v>752</v>
      </c>
      <c r="E17" s="16">
        <v>62.37400422655832</v>
      </c>
      <c r="F17">
        <v>54</v>
      </c>
      <c r="G17">
        <v>806</v>
      </c>
      <c r="H17">
        <v>62.37400422655832</v>
      </c>
      <c r="I17">
        <v>50273.447406606007</v>
      </c>
    </row>
    <row r="18" spans="1:9" x14ac:dyDescent="0.25">
      <c r="A18" s="11">
        <v>44048</v>
      </c>
      <c r="B18" t="s">
        <v>41</v>
      </c>
      <c r="C18" s="1">
        <v>43959</v>
      </c>
      <c r="D18" s="4">
        <v>387</v>
      </c>
      <c r="E18" s="16">
        <v>25.120079896173735</v>
      </c>
      <c r="F18">
        <v>81</v>
      </c>
      <c r="G18">
        <v>468</v>
      </c>
      <c r="H18">
        <v>25.120079896173735</v>
      </c>
      <c r="I18">
        <v>11756.197391409309</v>
      </c>
    </row>
    <row r="19" spans="1:9" x14ac:dyDescent="0.25">
      <c r="A19" s="11">
        <v>44048</v>
      </c>
      <c r="B19" t="s">
        <v>42</v>
      </c>
      <c r="C19" s="1">
        <v>43959</v>
      </c>
      <c r="D19" s="4">
        <v>42</v>
      </c>
      <c r="E19" s="16">
        <v>43.83991197368946</v>
      </c>
      <c r="F19">
        <v>12</v>
      </c>
      <c r="G19">
        <v>54</v>
      </c>
      <c r="H19">
        <v>43.83991197368946</v>
      </c>
      <c r="I19">
        <v>2367.3552465792309</v>
      </c>
    </row>
    <row r="20" spans="1:9" x14ac:dyDescent="0.25">
      <c r="A20" s="11">
        <v>44048</v>
      </c>
      <c r="B20" s="15" t="s">
        <v>43</v>
      </c>
      <c r="C20" s="15"/>
      <c r="D20" s="15"/>
      <c r="E20" s="15"/>
      <c r="F20" s="15">
        <v>45</v>
      </c>
      <c r="G20" s="15">
        <v>45</v>
      </c>
      <c r="H20" s="15">
        <v>62.361945875858972</v>
      </c>
      <c r="I20">
        <v>2806.2875644136539</v>
      </c>
    </row>
    <row r="21" spans="1:9" x14ac:dyDescent="0.25">
      <c r="A21" t="s">
        <v>53</v>
      </c>
      <c r="I21">
        <v>448377.59881453513</v>
      </c>
    </row>
    <row r="26" spans="1:9" x14ac:dyDescent="0.25">
      <c r="D26" s="16"/>
    </row>
    <row r="27" spans="1:9" x14ac:dyDescent="0.25">
      <c r="D27" s="16"/>
    </row>
    <row r="28" spans="1:9" x14ac:dyDescent="0.25">
      <c r="D28" s="16"/>
    </row>
    <row r="29" spans="1:9" x14ac:dyDescent="0.25">
      <c r="D29" s="16"/>
    </row>
    <row r="30" spans="1:9" x14ac:dyDescent="0.25">
      <c r="D30" s="16"/>
    </row>
    <row r="31" spans="1:9" x14ac:dyDescent="0.25">
      <c r="D31" s="16"/>
    </row>
    <row r="32" spans="1:9" x14ac:dyDescent="0.25">
      <c r="D32" s="16"/>
    </row>
    <row r="33" spans="4:4" x14ac:dyDescent="0.25">
      <c r="D33" s="16"/>
    </row>
    <row r="34" spans="4:4" x14ac:dyDescent="0.25">
      <c r="D34" s="16"/>
    </row>
    <row r="35" spans="4:4" x14ac:dyDescent="0.25">
      <c r="D35" s="16"/>
    </row>
    <row r="36" spans="4:4" x14ac:dyDescent="0.25">
      <c r="D36" s="16"/>
    </row>
    <row r="37" spans="4:4" x14ac:dyDescent="0.25">
      <c r="D37" s="16"/>
    </row>
    <row r="38" spans="4:4" x14ac:dyDescent="0.25">
      <c r="D38" s="16"/>
    </row>
    <row r="39" spans="4:4" x14ac:dyDescent="0.25">
      <c r="D39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6"/>
  <sheetViews>
    <sheetView workbookViewId="0">
      <selection activeCell="C2" sqref="C2:C14"/>
    </sheetView>
  </sheetViews>
  <sheetFormatPr defaultRowHeight="15" x14ac:dyDescent="0.25"/>
  <sheetData>
    <row r="1" spans="1:6" x14ac:dyDescent="0.25">
      <c r="A1" t="s">
        <v>18</v>
      </c>
      <c r="B1" t="s">
        <v>19</v>
      </c>
      <c r="C1" t="s">
        <v>29</v>
      </c>
      <c r="D1" t="s">
        <v>20</v>
      </c>
      <c r="E1" t="s">
        <v>3</v>
      </c>
      <c r="F1" t="s">
        <v>45</v>
      </c>
    </row>
    <row r="2" spans="1:6" x14ac:dyDescent="0.25">
      <c r="A2" t="s">
        <v>44</v>
      </c>
      <c r="B2" t="s">
        <v>30</v>
      </c>
      <c r="C2">
        <v>85.597225735707966</v>
      </c>
      <c r="D2" t="s">
        <v>21</v>
      </c>
      <c r="E2">
        <v>58</v>
      </c>
      <c r="F2">
        <v>-4964.6390926710619</v>
      </c>
    </row>
    <row r="3" spans="1:6" x14ac:dyDescent="0.25">
      <c r="A3" t="s">
        <v>44</v>
      </c>
      <c r="B3" t="s">
        <v>31</v>
      </c>
      <c r="C3">
        <v>85.760970905234373</v>
      </c>
      <c r="D3" t="s">
        <v>22</v>
      </c>
      <c r="E3">
        <v>62</v>
      </c>
      <c r="F3">
        <v>5317.180196124531</v>
      </c>
    </row>
    <row r="4" spans="1:6" x14ac:dyDescent="0.25">
      <c r="A4" t="s">
        <v>44</v>
      </c>
      <c r="B4" t="s">
        <v>32</v>
      </c>
      <c r="C4">
        <v>1.980674441062602</v>
      </c>
      <c r="D4" t="s">
        <v>21</v>
      </c>
      <c r="E4">
        <v>55</v>
      </c>
      <c r="F4">
        <v>-108.93709425844311</v>
      </c>
    </row>
    <row r="5" spans="1:6" x14ac:dyDescent="0.25">
      <c r="A5" t="s">
        <v>44</v>
      </c>
      <c r="B5" t="s">
        <v>33</v>
      </c>
      <c r="C5">
        <v>80.350371165810785</v>
      </c>
      <c r="D5" t="s">
        <v>22</v>
      </c>
      <c r="E5">
        <v>70</v>
      </c>
      <c r="F5">
        <v>5624.5259816067546</v>
      </c>
    </row>
    <row r="6" spans="1:6" x14ac:dyDescent="0.25">
      <c r="A6" t="s">
        <v>44</v>
      </c>
      <c r="B6" t="s">
        <v>34</v>
      </c>
      <c r="C6">
        <v>72.69968569499116</v>
      </c>
      <c r="D6" t="s">
        <v>21</v>
      </c>
      <c r="E6">
        <v>73</v>
      </c>
      <c r="F6">
        <v>-5307.0770557343549</v>
      </c>
    </row>
    <row r="7" spans="1:6" x14ac:dyDescent="0.25">
      <c r="A7" t="s">
        <v>44</v>
      </c>
      <c r="B7" t="s">
        <v>35</v>
      </c>
      <c r="C7">
        <v>2.3023439265181689</v>
      </c>
      <c r="D7" t="s">
        <v>22</v>
      </c>
      <c r="E7">
        <v>72</v>
      </c>
      <c r="F7">
        <v>165.76876270930816</v>
      </c>
    </row>
    <row r="8" spans="1:6" x14ac:dyDescent="0.25">
      <c r="A8" t="s">
        <v>44</v>
      </c>
      <c r="B8" t="s">
        <v>36</v>
      </c>
      <c r="C8">
        <v>55.561069167755747</v>
      </c>
      <c r="D8" t="s">
        <v>21</v>
      </c>
      <c r="E8">
        <v>16</v>
      </c>
      <c r="F8">
        <v>-888.97710668409195</v>
      </c>
    </row>
    <row r="9" spans="1:6" x14ac:dyDescent="0.25">
      <c r="A9" t="s">
        <v>44</v>
      </c>
      <c r="B9" t="s">
        <v>37</v>
      </c>
      <c r="C9">
        <v>22.079198782715416</v>
      </c>
      <c r="D9" t="s">
        <v>21</v>
      </c>
      <c r="E9">
        <v>28</v>
      </c>
      <c r="F9">
        <v>-618.21756591603162</v>
      </c>
    </row>
    <row r="10" spans="1:6" x14ac:dyDescent="0.25">
      <c r="A10" t="s">
        <v>44</v>
      </c>
      <c r="B10" t="s">
        <v>38</v>
      </c>
      <c r="C10">
        <v>58.384990044273707</v>
      </c>
      <c r="D10" t="s">
        <v>22</v>
      </c>
      <c r="E10">
        <v>6</v>
      </c>
      <c r="F10">
        <v>350.30994026564224</v>
      </c>
    </row>
    <row r="11" spans="1:6" x14ac:dyDescent="0.25">
      <c r="A11" t="s">
        <v>44</v>
      </c>
      <c r="B11" t="s">
        <v>39</v>
      </c>
      <c r="C11">
        <v>9.0978226032286109</v>
      </c>
      <c r="D11" t="s">
        <v>22</v>
      </c>
      <c r="E11">
        <v>59</v>
      </c>
      <c r="F11">
        <v>536.77153359048805</v>
      </c>
    </row>
    <row r="12" spans="1:6" x14ac:dyDescent="0.25">
      <c r="A12" t="s">
        <v>44</v>
      </c>
      <c r="B12" t="s">
        <v>40</v>
      </c>
      <c r="C12">
        <v>61.873807747649046</v>
      </c>
      <c r="D12" t="s">
        <v>21</v>
      </c>
      <c r="E12">
        <v>48</v>
      </c>
      <c r="F12">
        <v>-2969.9427718871543</v>
      </c>
    </row>
    <row r="13" spans="1:6" x14ac:dyDescent="0.25">
      <c r="A13" t="s">
        <v>44</v>
      </c>
      <c r="B13" t="s">
        <v>41</v>
      </c>
      <c r="C13">
        <v>24.721080831260977</v>
      </c>
      <c r="D13" t="s">
        <v>22</v>
      </c>
      <c r="E13">
        <v>75</v>
      </c>
      <c r="F13">
        <v>1854.0810623445732</v>
      </c>
    </row>
    <row r="14" spans="1:6" x14ac:dyDescent="0.25">
      <c r="A14" t="s">
        <v>44</v>
      </c>
      <c r="B14" t="s">
        <v>42</v>
      </c>
      <c r="C14">
        <v>44.687159994176319</v>
      </c>
      <c r="D14" t="s">
        <v>22</v>
      </c>
      <c r="E14">
        <v>6</v>
      </c>
      <c r="F14">
        <v>268.12295996505793</v>
      </c>
    </row>
    <row r="15" spans="1:6" x14ac:dyDescent="0.25">
      <c r="A15" t="s">
        <v>44</v>
      </c>
      <c r="B15" t="s">
        <v>43</v>
      </c>
      <c r="C15">
        <v>61.846107727940733</v>
      </c>
      <c r="D15" t="s">
        <v>21</v>
      </c>
      <c r="E15">
        <v>40</v>
      </c>
      <c r="F15">
        <v>-2473.8443091176296</v>
      </c>
    </row>
    <row r="16" spans="1:6" x14ac:dyDescent="0.25">
      <c r="A16" s="22" t="s">
        <v>48</v>
      </c>
      <c r="B16" s="22"/>
      <c r="C16" s="22"/>
      <c r="D16" s="22"/>
      <c r="E16" s="22"/>
      <c r="F16">
        <v>-3214.8745596624121</v>
      </c>
    </row>
  </sheetData>
  <mergeCells count="1">
    <mergeCell ref="A16:E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5"/>
  <sheetViews>
    <sheetView workbookViewId="0">
      <selection activeCell="C14" sqref="C2:C14"/>
    </sheetView>
  </sheetViews>
  <sheetFormatPr defaultRowHeight="15" x14ac:dyDescent="0.25"/>
  <sheetData>
    <row r="1" spans="1:3" x14ac:dyDescent="0.25">
      <c r="A1" t="s">
        <v>18</v>
      </c>
      <c r="B1" t="s">
        <v>0</v>
      </c>
      <c r="C1" t="s">
        <v>29</v>
      </c>
    </row>
    <row r="2" spans="1:3" x14ac:dyDescent="0.25">
      <c r="A2" t="s">
        <v>44</v>
      </c>
      <c r="B2" t="s">
        <v>30</v>
      </c>
      <c r="C2">
        <v>85.597225735707966</v>
      </c>
    </row>
    <row r="3" spans="1:3" x14ac:dyDescent="0.25">
      <c r="A3" t="s">
        <v>44</v>
      </c>
      <c r="B3" t="s">
        <v>31</v>
      </c>
      <c r="C3">
        <v>85.760970905234373</v>
      </c>
    </row>
    <row r="4" spans="1:3" x14ac:dyDescent="0.25">
      <c r="A4" t="s">
        <v>44</v>
      </c>
      <c r="B4" t="s">
        <v>32</v>
      </c>
      <c r="C4">
        <v>1.980674441062602</v>
      </c>
    </row>
    <row r="5" spans="1:3" x14ac:dyDescent="0.25">
      <c r="A5" t="s">
        <v>44</v>
      </c>
      <c r="B5" t="s">
        <v>33</v>
      </c>
      <c r="C5">
        <v>80.350371165810785</v>
      </c>
    </row>
    <row r="6" spans="1:3" x14ac:dyDescent="0.25">
      <c r="A6" t="s">
        <v>44</v>
      </c>
      <c r="B6" t="s">
        <v>34</v>
      </c>
      <c r="C6">
        <v>72.69968569499116</v>
      </c>
    </row>
    <row r="7" spans="1:3" x14ac:dyDescent="0.25">
      <c r="A7" t="s">
        <v>44</v>
      </c>
      <c r="B7" t="s">
        <v>35</v>
      </c>
      <c r="C7">
        <v>2.3023439265181689</v>
      </c>
    </row>
    <row r="8" spans="1:3" x14ac:dyDescent="0.25">
      <c r="A8" t="s">
        <v>44</v>
      </c>
      <c r="B8" t="s">
        <v>36</v>
      </c>
      <c r="C8">
        <v>55.561069167755747</v>
      </c>
    </row>
    <row r="9" spans="1:3" x14ac:dyDescent="0.25">
      <c r="A9" t="s">
        <v>44</v>
      </c>
      <c r="B9" t="s">
        <v>37</v>
      </c>
      <c r="C9">
        <v>22.079198782715416</v>
      </c>
    </row>
    <row r="10" spans="1:3" x14ac:dyDescent="0.25">
      <c r="A10" t="s">
        <v>44</v>
      </c>
      <c r="B10" t="s">
        <v>38</v>
      </c>
      <c r="C10">
        <v>58.384990044273707</v>
      </c>
    </row>
    <row r="11" spans="1:3" x14ac:dyDescent="0.25">
      <c r="A11" t="s">
        <v>44</v>
      </c>
      <c r="B11" t="s">
        <v>39</v>
      </c>
      <c r="C11">
        <v>9.0978226032286109</v>
      </c>
    </row>
    <row r="12" spans="1:3" x14ac:dyDescent="0.25">
      <c r="A12" t="s">
        <v>44</v>
      </c>
      <c r="B12" t="s">
        <v>40</v>
      </c>
      <c r="C12">
        <v>61.873807747649046</v>
      </c>
    </row>
    <row r="13" spans="1:3" x14ac:dyDescent="0.25">
      <c r="A13" t="s">
        <v>44</v>
      </c>
      <c r="B13" t="s">
        <v>41</v>
      </c>
      <c r="C13">
        <v>24.721080831260977</v>
      </c>
    </row>
    <row r="14" spans="1:3" x14ac:dyDescent="0.25">
      <c r="A14" t="s">
        <v>44</v>
      </c>
      <c r="B14" t="s">
        <v>42</v>
      </c>
      <c r="C14">
        <v>44.687159994176319</v>
      </c>
    </row>
    <row r="15" spans="1:3" x14ac:dyDescent="0.25">
      <c r="A15" t="s">
        <v>44</v>
      </c>
      <c r="B15" t="s">
        <v>43</v>
      </c>
      <c r="C15">
        <v>61.846107727940733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6"/>
  <sheetViews>
    <sheetView workbookViewId="0">
      <selection activeCell="B1" sqref="B1:E15"/>
    </sheetView>
  </sheetViews>
  <sheetFormatPr defaultRowHeight="15" x14ac:dyDescent="0.25"/>
  <sheetData>
    <row r="1" spans="1:6" x14ac:dyDescent="0.25">
      <c r="A1" t="s">
        <v>18</v>
      </c>
      <c r="B1" t="s">
        <v>19</v>
      </c>
      <c r="C1" t="s">
        <v>29</v>
      </c>
      <c r="D1" t="s">
        <v>20</v>
      </c>
      <c r="E1" t="s">
        <v>3</v>
      </c>
      <c r="F1" t="s">
        <v>45</v>
      </c>
    </row>
    <row r="2" spans="1:6" x14ac:dyDescent="0.25">
      <c r="A2" t="s">
        <v>62</v>
      </c>
      <c r="B2" t="s">
        <v>30</v>
      </c>
      <c r="C2">
        <v>85.411227336046906</v>
      </c>
      <c r="D2" t="s">
        <v>21</v>
      </c>
      <c r="E2">
        <v>58</v>
      </c>
      <c r="F2">
        <v>-4953.8511854907201</v>
      </c>
    </row>
    <row r="3" spans="1:6" x14ac:dyDescent="0.25">
      <c r="A3" t="s">
        <v>62</v>
      </c>
      <c r="B3" t="s">
        <v>31</v>
      </c>
      <c r="C3">
        <v>85.064441883960725</v>
      </c>
      <c r="D3" t="s">
        <v>22</v>
      </c>
      <c r="E3">
        <v>62</v>
      </c>
      <c r="F3">
        <v>5273.9953968055652</v>
      </c>
    </row>
    <row r="4" spans="1:6" x14ac:dyDescent="0.25">
      <c r="A4" t="s">
        <v>62</v>
      </c>
      <c r="B4" t="s">
        <v>32</v>
      </c>
      <c r="C4">
        <v>1.7904680175918211</v>
      </c>
      <c r="D4" t="s">
        <v>21</v>
      </c>
      <c r="E4">
        <v>55</v>
      </c>
      <c r="F4">
        <v>-98.475740967550152</v>
      </c>
    </row>
    <row r="5" spans="1:6" x14ac:dyDescent="0.25">
      <c r="A5" t="s">
        <v>62</v>
      </c>
      <c r="B5" t="s">
        <v>33</v>
      </c>
      <c r="C5">
        <v>79.647071758512354</v>
      </c>
      <c r="D5" t="s">
        <v>22</v>
      </c>
      <c r="E5">
        <v>70</v>
      </c>
      <c r="F5">
        <v>5575.295023095865</v>
      </c>
    </row>
    <row r="6" spans="1:6" x14ac:dyDescent="0.25">
      <c r="A6" t="s">
        <v>62</v>
      </c>
      <c r="B6" t="s">
        <v>34</v>
      </c>
      <c r="C6">
        <v>72.821949470960448</v>
      </c>
      <c r="D6" t="s">
        <v>21</v>
      </c>
      <c r="E6">
        <v>73</v>
      </c>
      <c r="F6">
        <v>-5316.0023113801126</v>
      </c>
    </row>
    <row r="7" spans="1:6" x14ac:dyDescent="0.25">
      <c r="A7" t="s">
        <v>62</v>
      </c>
      <c r="B7" t="s">
        <v>35</v>
      </c>
      <c r="C7">
        <v>1.6028062894590369</v>
      </c>
      <c r="D7" t="s">
        <v>22</v>
      </c>
      <c r="E7">
        <v>72</v>
      </c>
      <c r="F7">
        <v>115.40205284105066</v>
      </c>
    </row>
    <row r="8" spans="1:6" x14ac:dyDescent="0.25">
      <c r="A8" t="s">
        <v>62</v>
      </c>
      <c r="B8" t="s">
        <v>36</v>
      </c>
      <c r="C8">
        <v>55.131685497898488</v>
      </c>
      <c r="D8" t="s">
        <v>21</v>
      </c>
      <c r="E8">
        <v>16</v>
      </c>
      <c r="F8">
        <v>-882.10696796637581</v>
      </c>
    </row>
    <row r="9" spans="1:6" x14ac:dyDescent="0.25">
      <c r="A9" t="s">
        <v>62</v>
      </c>
      <c r="B9" t="s">
        <v>37</v>
      </c>
      <c r="C9">
        <v>21.97416594954105</v>
      </c>
      <c r="D9" t="s">
        <v>21</v>
      </c>
      <c r="E9">
        <v>28</v>
      </c>
      <c r="F9">
        <v>-615.27664658714934</v>
      </c>
    </row>
    <row r="10" spans="1:6" x14ac:dyDescent="0.25">
      <c r="A10" t="s">
        <v>62</v>
      </c>
      <c r="B10" t="s">
        <v>38</v>
      </c>
      <c r="C10">
        <v>57.530537980285878</v>
      </c>
      <c r="D10" t="s">
        <v>22</v>
      </c>
      <c r="E10">
        <v>6</v>
      </c>
      <c r="F10">
        <v>345.18322788171525</v>
      </c>
    </row>
    <row r="11" spans="1:6" x14ac:dyDescent="0.25">
      <c r="A11" t="s">
        <v>62</v>
      </c>
      <c r="B11" t="s">
        <v>39</v>
      </c>
      <c r="C11">
        <v>9.7324698981963298</v>
      </c>
      <c r="D11" t="s">
        <v>22</v>
      </c>
      <c r="E11">
        <v>59</v>
      </c>
      <c r="F11">
        <v>574.21572399358342</v>
      </c>
    </row>
    <row r="12" spans="1:6" x14ac:dyDescent="0.25">
      <c r="A12" t="s">
        <v>62</v>
      </c>
      <c r="B12" t="s">
        <v>40</v>
      </c>
      <c r="C12">
        <v>61.483447130601988</v>
      </c>
      <c r="D12" t="s">
        <v>21</v>
      </c>
      <c r="E12">
        <v>48</v>
      </c>
      <c r="F12">
        <v>-2951.2054622688956</v>
      </c>
    </row>
    <row r="13" spans="1:6" x14ac:dyDescent="0.25">
      <c r="A13" t="s">
        <v>62</v>
      </c>
      <c r="B13" t="s">
        <v>41</v>
      </c>
      <c r="C13">
        <v>25.662920184134851</v>
      </c>
      <c r="D13" t="s">
        <v>22</v>
      </c>
      <c r="E13">
        <v>75</v>
      </c>
      <c r="F13">
        <v>1924.7190138101139</v>
      </c>
    </row>
    <row r="14" spans="1:6" x14ac:dyDescent="0.25">
      <c r="A14" t="s">
        <v>62</v>
      </c>
      <c r="B14" t="s">
        <v>42</v>
      </c>
      <c r="C14">
        <v>44.988159691305079</v>
      </c>
      <c r="D14" t="s">
        <v>22</v>
      </c>
      <c r="E14">
        <v>6</v>
      </c>
      <c r="F14">
        <v>269.92895814783049</v>
      </c>
    </row>
    <row r="15" spans="1:6" x14ac:dyDescent="0.25">
      <c r="A15" t="s">
        <v>62</v>
      </c>
      <c r="B15" t="s">
        <v>43</v>
      </c>
      <c r="C15">
        <v>62.595625742161651</v>
      </c>
      <c r="D15" t="s">
        <v>21</v>
      </c>
      <c r="E15">
        <v>40</v>
      </c>
      <c r="F15">
        <v>-2503.8250296864662</v>
      </c>
    </row>
    <row r="16" spans="1:6" x14ac:dyDescent="0.25">
      <c r="A16" s="22" t="s">
        <v>48</v>
      </c>
      <c r="B16" s="22"/>
      <c r="C16" s="22"/>
      <c r="D16" s="22"/>
      <c r="E16" s="22"/>
      <c r="F16">
        <v>-3242.0039477715463</v>
      </c>
    </row>
  </sheetData>
  <mergeCells count="1">
    <mergeCell ref="A16:E1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5"/>
  <sheetViews>
    <sheetView workbookViewId="0">
      <selection activeCell="C3" sqref="C3"/>
    </sheetView>
  </sheetViews>
  <sheetFormatPr defaultRowHeight="15" x14ac:dyDescent="0.25"/>
  <sheetData>
    <row r="1" spans="1:3" x14ac:dyDescent="0.25">
      <c r="A1" t="s">
        <v>18</v>
      </c>
      <c r="B1" t="s">
        <v>0</v>
      </c>
      <c r="C1" t="s">
        <v>29</v>
      </c>
    </row>
    <row r="2" spans="1:3" x14ac:dyDescent="0.25">
      <c r="A2" t="s">
        <v>62</v>
      </c>
      <c r="B2" t="s">
        <v>30</v>
      </c>
      <c r="C2">
        <v>86.250544644405664</v>
      </c>
    </row>
    <row r="3" spans="1:3" x14ac:dyDescent="0.25">
      <c r="A3" t="s">
        <v>62</v>
      </c>
      <c r="B3" t="s">
        <v>31</v>
      </c>
      <c r="C3" s="12">
        <v>86.045662606016336</v>
      </c>
    </row>
    <row r="4" spans="1:3" x14ac:dyDescent="0.25">
      <c r="A4" t="s">
        <v>62</v>
      </c>
      <c r="B4" t="s">
        <v>32</v>
      </c>
      <c r="C4">
        <v>2.485290423104999</v>
      </c>
    </row>
    <row r="5" spans="1:3" x14ac:dyDescent="0.25">
      <c r="A5" t="s">
        <v>62</v>
      </c>
      <c r="B5" t="s">
        <v>33</v>
      </c>
      <c r="C5">
        <v>80.238870541275119</v>
      </c>
    </row>
    <row r="6" spans="1:3" x14ac:dyDescent="0.25">
      <c r="A6" t="s">
        <v>62</v>
      </c>
      <c r="B6" t="s">
        <v>34</v>
      </c>
      <c r="C6">
        <v>72.358586949343305</v>
      </c>
    </row>
    <row r="7" spans="1:3" x14ac:dyDescent="0.25">
      <c r="A7" t="s">
        <v>62</v>
      </c>
      <c r="B7" t="s">
        <v>35</v>
      </c>
      <c r="C7">
        <v>2.5607516055306867</v>
      </c>
    </row>
    <row r="8" spans="1:3" x14ac:dyDescent="0.25">
      <c r="A8" t="s">
        <v>62</v>
      </c>
      <c r="B8" t="s">
        <v>36</v>
      </c>
      <c r="C8">
        <v>55.362113118106663</v>
      </c>
    </row>
    <row r="9" spans="1:3" x14ac:dyDescent="0.25">
      <c r="A9" t="s">
        <v>62</v>
      </c>
      <c r="B9" t="s">
        <v>37</v>
      </c>
      <c r="C9">
        <v>21.792955259353171</v>
      </c>
    </row>
    <row r="10" spans="1:3" x14ac:dyDescent="0.25">
      <c r="A10" t="s">
        <v>62</v>
      </c>
      <c r="B10" t="s">
        <v>38</v>
      </c>
      <c r="C10">
        <v>57.975291133839953</v>
      </c>
    </row>
    <row r="11" spans="1:3" x14ac:dyDescent="0.25">
      <c r="A11" t="s">
        <v>62</v>
      </c>
      <c r="B11" t="s">
        <v>39</v>
      </c>
      <c r="C11">
        <v>8.9841786809455648</v>
      </c>
    </row>
    <row r="12" spans="1:3" x14ac:dyDescent="0.25">
      <c r="A12" t="s">
        <v>62</v>
      </c>
      <c r="B12" t="s">
        <v>40</v>
      </c>
      <c r="C12">
        <v>62.37400422655832</v>
      </c>
    </row>
    <row r="13" spans="1:3" x14ac:dyDescent="0.25">
      <c r="A13" t="s">
        <v>62</v>
      </c>
      <c r="B13" t="s">
        <v>41</v>
      </c>
      <c r="C13">
        <v>25.120079896173735</v>
      </c>
    </row>
    <row r="14" spans="1:3" x14ac:dyDescent="0.25">
      <c r="A14" t="s">
        <v>62</v>
      </c>
      <c r="B14" t="s">
        <v>42</v>
      </c>
      <c r="C14">
        <v>43.83991197368946</v>
      </c>
    </row>
    <row r="15" spans="1:3" x14ac:dyDescent="0.25">
      <c r="A15" t="s">
        <v>62</v>
      </c>
      <c r="B15" t="s">
        <v>43</v>
      </c>
      <c r="C15">
        <v>62.361945875858972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6"/>
  <sheetViews>
    <sheetView workbookViewId="0">
      <selection activeCell="B1" sqref="B1:E15"/>
    </sheetView>
  </sheetViews>
  <sheetFormatPr defaultRowHeight="15" x14ac:dyDescent="0.25"/>
  <sheetData>
    <row r="1" spans="1:6" x14ac:dyDescent="0.25">
      <c r="A1" t="s">
        <v>18</v>
      </c>
      <c r="B1" t="s">
        <v>19</v>
      </c>
      <c r="C1" t="s">
        <v>29</v>
      </c>
      <c r="D1" t="s">
        <v>20</v>
      </c>
      <c r="E1" t="s">
        <v>3</v>
      </c>
      <c r="F1" t="s">
        <v>45</v>
      </c>
    </row>
    <row r="2" spans="1:6" x14ac:dyDescent="0.25">
      <c r="A2" s="1">
        <v>43898</v>
      </c>
      <c r="B2" t="s">
        <v>30</v>
      </c>
      <c r="C2">
        <v>85.411227336046906</v>
      </c>
      <c r="D2" t="s">
        <v>21</v>
      </c>
      <c r="E2">
        <v>58</v>
      </c>
      <c r="F2">
        <v>-4953.8511854907201</v>
      </c>
    </row>
    <row r="3" spans="1:6" x14ac:dyDescent="0.25">
      <c r="A3" s="1">
        <v>43898</v>
      </c>
      <c r="B3" t="s">
        <v>31</v>
      </c>
      <c r="C3">
        <v>85.064441883960725</v>
      </c>
      <c r="D3" t="s">
        <v>22</v>
      </c>
      <c r="E3">
        <v>62</v>
      </c>
      <c r="F3">
        <v>5273.9953968055652</v>
      </c>
    </row>
    <row r="4" spans="1:6" x14ac:dyDescent="0.25">
      <c r="A4" s="1">
        <v>43898</v>
      </c>
      <c r="B4" t="s">
        <v>32</v>
      </c>
      <c r="C4">
        <v>1.7904680175918211</v>
      </c>
      <c r="D4" t="s">
        <v>21</v>
      </c>
      <c r="E4">
        <v>55</v>
      </c>
      <c r="F4">
        <v>-98.475740967550152</v>
      </c>
    </row>
    <row r="5" spans="1:6" x14ac:dyDescent="0.25">
      <c r="A5" s="1">
        <v>43898</v>
      </c>
      <c r="B5" t="s">
        <v>33</v>
      </c>
      <c r="C5">
        <v>79.647071758512354</v>
      </c>
      <c r="D5" t="s">
        <v>22</v>
      </c>
      <c r="E5">
        <v>70</v>
      </c>
      <c r="F5">
        <v>5575.295023095865</v>
      </c>
    </row>
    <row r="6" spans="1:6" x14ac:dyDescent="0.25">
      <c r="A6" s="1">
        <v>43898</v>
      </c>
      <c r="B6" t="s">
        <v>34</v>
      </c>
      <c r="C6">
        <v>72.821949470960448</v>
      </c>
      <c r="D6" t="s">
        <v>21</v>
      </c>
      <c r="E6">
        <v>73</v>
      </c>
      <c r="F6">
        <v>-5316.0023113801126</v>
      </c>
    </row>
    <row r="7" spans="1:6" x14ac:dyDescent="0.25">
      <c r="A7" s="1">
        <v>43898</v>
      </c>
      <c r="B7" t="s">
        <v>35</v>
      </c>
      <c r="C7">
        <v>1.6028062894590369</v>
      </c>
      <c r="D7" t="s">
        <v>22</v>
      </c>
      <c r="E7">
        <v>72</v>
      </c>
      <c r="F7">
        <v>115.40205284105066</v>
      </c>
    </row>
    <row r="8" spans="1:6" x14ac:dyDescent="0.25">
      <c r="A8" s="1">
        <v>43898</v>
      </c>
      <c r="B8" t="s">
        <v>36</v>
      </c>
      <c r="C8">
        <v>55.131685497898488</v>
      </c>
      <c r="D8" t="s">
        <v>21</v>
      </c>
      <c r="E8">
        <v>16</v>
      </c>
      <c r="F8">
        <v>-882.10696796637581</v>
      </c>
    </row>
    <row r="9" spans="1:6" x14ac:dyDescent="0.25">
      <c r="A9" s="1">
        <v>43898</v>
      </c>
      <c r="B9" t="s">
        <v>37</v>
      </c>
      <c r="C9">
        <v>21.97416594954105</v>
      </c>
      <c r="D9" t="s">
        <v>21</v>
      </c>
      <c r="E9">
        <v>28</v>
      </c>
      <c r="F9">
        <v>-615.27664658714934</v>
      </c>
    </row>
    <row r="10" spans="1:6" x14ac:dyDescent="0.25">
      <c r="A10" s="1">
        <v>43898</v>
      </c>
      <c r="B10" t="s">
        <v>38</v>
      </c>
      <c r="C10">
        <v>57.530537980285878</v>
      </c>
      <c r="D10" t="s">
        <v>22</v>
      </c>
      <c r="E10">
        <v>6</v>
      </c>
      <c r="F10">
        <v>345.18322788171525</v>
      </c>
    </row>
    <row r="11" spans="1:6" x14ac:dyDescent="0.25">
      <c r="A11" s="1">
        <v>43898</v>
      </c>
      <c r="B11" t="s">
        <v>39</v>
      </c>
      <c r="C11">
        <v>9.7324698981963298</v>
      </c>
      <c r="D11" t="s">
        <v>22</v>
      </c>
      <c r="E11">
        <v>59</v>
      </c>
      <c r="F11">
        <v>574.21572399358342</v>
      </c>
    </row>
    <row r="12" spans="1:6" x14ac:dyDescent="0.25">
      <c r="A12" s="1">
        <v>43898</v>
      </c>
      <c r="B12" t="s">
        <v>40</v>
      </c>
      <c r="C12">
        <v>61.483447130601988</v>
      </c>
      <c r="D12" t="s">
        <v>21</v>
      </c>
      <c r="E12">
        <v>48</v>
      </c>
      <c r="F12">
        <v>-2951.2054622688956</v>
      </c>
    </row>
    <row r="13" spans="1:6" x14ac:dyDescent="0.25">
      <c r="A13" s="1">
        <v>43898</v>
      </c>
      <c r="B13" t="s">
        <v>41</v>
      </c>
      <c r="C13">
        <v>25.662920184134851</v>
      </c>
      <c r="D13" t="s">
        <v>22</v>
      </c>
      <c r="E13">
        <v>75</v>
      </c>
      <c r="F13">
        <v>1924.7190138101139</v>
      </c>
    </row>
    <row r="14" spans="1:6" x14ac:dyDescent="0.25">
      <c r="A14" s="1">
        <v>43898</v>
      </c>
      <c r="B14" t="s">
        <v>42</v>
      </c>
      <c r="C14">
        <v>44.988159691305079</v>
      </c>
      <c r="D14" t="s">
        <v>22</v>
      </c>
      <c r="E14">
        <v>6</v>
      </c>
      <c r="F14">
        <v>269.92895814783049</v>
      </c>
    </row>
    <row r="15" spans="1:6" x14ac:dyDescent="0.25">
      <c r="A15" s="1">
        <v>43898</v>
      </c>
      <c r="B15" t="s">
        <v>43</v>
      </c>
      <c r="C15">
        <v>62.595625742161651</v>
      </c>
      <c r="D15" t="s">
        <v>21</v>
      </c>
      <c r="E15">
        <v>40</v>
      </c>
      <c r="F15">
        <v>-2503.8250296864662</v>
      </c>
    </row>
    <row r="16" spans="1:6" x14ac:dyDescent="0.25">
      <c r="A16" s="22" t="s">
        <v>48</v>
      </c>
      <c r="B16" s="22"/>
      <c r="C16" s="22"/>
      <c r="D16" s="22"/>
      <c r="E16" s="22"/>
      <c r="F16">
        <v>-3242.0039477715463</v>
      </c>
    </row>
  </sheetData>
  <mergeCells count="1">
    <mergeCell ref="A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5"/>
  <sheetViews>
    <sheetView workbookViewId="0">
      <selection activeCell="B1" sqref="B1:C15"/>
    </sheetView>
  </sheetViews>
  <sheetFormatPr defaultRowHeight="15" x14ac:dyDescent="0.25"/>
  <sheetData>
    <row r="1" spans="1:3" x14ac:dyDescent="0.25">
      <c r="A1" t="s">
        <v>18</v>
      </c>
      <c r="B1" t="s">
        <v>0</v>
      </c>
      <c r="C1" t="s">
        <v>29</v>
      </c>
    </row>
    <row r="2" spans="1:3" x14ac:dyDescent="0.25">
      <c r="A2" s="1">
        <v>43898</v>
      </c>
      <c r="B2" t="s">
        <v>30</v>
      </c>
      <c r="C2">
        <v>86.250544644405664</v>
      </c>
    </row>
    <row r="3" spans="1:3" x14ac:dyDescent="0.25">
      <c r="A3" s="1">
        <v>43898</v>
      </c>
      <c r="B3" t="s">
        <v>31</v>
      </c>
      <c r="C3">
        <v>86.045662606016336</v>
      </c>
    </row>
    <row r="4" spans="1:3" x14ac:dyDescent="0.25">
      <c r="A4" s="1">
        <v>43898</v>
      </c>
      <c r="B4" t="s">
        <v>32</v>
      </c>
      <c r="C4">
        <v>2.485290423104999</v>
      </c>
    </row>
    <row r="5" spans="1:3" x14ac:dyDescent="0.25">
      <c r="A5" s="1">
        <v>43898</v>
      </c>
      <c r="B5" t="s">
        <v>33</v>
      </c>
      <c r="C5">
        <v>80.238870541275119</v>
      </c>
    </row>
    <row r="6" spans="1:3" x14ac:dyDescent="0.25">
      <c r="A6" s="1">
        <v>43898</v>
      </c>
      <c r="B6" t="s">
        <v>34</v>
      </c>
      <c r="C6">
        <v>72.358586949343305</v>
      </c>
    </row>
    <row r="7" spans="1:3" x14ac:dyDescent="0.25">
      <c r="A7" s="1">
        <v>43898</v>
      </c>
      <c r="B7" t="s">
        <v>35</v>
      </c>
      <c r="C7">
        <v>2.5607516055306867</v>
      </c>
    </row>
    <row r="8" spans="1:3" x14ac:dyDescent="0.25">
      <c r="A8" s="1">
        <v>43898</v>
      </c>
      <c r="B8" t="s">
        <v>36</v>
      </c>
      <c r="C8">
        <v>55.362113118106663</v>
      </c>
    </row>
    <row r="9" spans="1:3" x14ac:dyDescent="0.25">
      <c r="A9" s="1">
        <v>43898</v>
      </c>
      <c r="B9" t="s">
        <v>37</v>
      </c>
      <c r="C9">
        <v>21.792955259353171</v>
      </c>
    </row>
    <row r="10" spans="1:3" x14ac:dyDescent="0.25">
      <c r="A10" s="1">
        <v>43898</v>
      </c>
      <c r="B10" t="s">
        <v>38</v>
      </c>
      <c r="C10">
        <v>57.975291133839953</v>
      </c>
    </row>
    <row r="11" spans="1:3" x14ac:dyDescent="0.25">
      <c r="A11" s="1">
        <v>43898</v>
      </c>
      <c r="B11" t="s">
        <v>39</v>
      </c>
      <c r="C11">
        <v>8.9841786809455648</v>
      </c>
    </row>
    <row r="12" spans="1:3" x14ac:dyDescent="0.25">
      <c r="A12" s="1">
        <v>43898</v>
      </c>
      <c r="B12" t="s">
        <v>40</v>
      </c>
      <c r="C12">
        <v>62.37400422655832</v>
      </c>
    </row>
    <row r="13" spans="1:3" x14ac:dyDescent="0.25">
      <c r="A13" s="1">
        <v>43898</v>
      </c>
      <c r="B13" t="s">
        <v>41</v>
      </c>
      <c r="C13">
        <v>25.120079896173735</v>
      </c>
    </row>
    <row r="14" spans="1:3" x14ac:dyDescent="0.25">
      <c r="A14" s="1">
        <v>43898</v>
      </c>
      <c r="B14" t="s">
        <v>42</v>
      </c>
      <c r="C14">
        <v>43.83991197368946</v>
      </c>
    </row>
    <row r="15" spans="1:3" x14ac:dyDescent="0.25">
      <c r="A15" s="1">
        <v>43898</v>
      </c>
      <c r="B15" t="s">
        <v>43</v>
      </c>
      <c r="C15">
        <v>62.361945875858972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6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10" max="10" width="15.85546875" bestFit="1" customWidth="1"/>
  </cols>
  <sheetData>
    <row r="1" spans="1:10" x14ac:dyDescent="0.25">
      <c r="A1" t="s">
        <v>18</v>
      </c>
      <c r="B1" t="s">
        <v>19</v>
      </c>
      <c r="C1" t="s">
        <v>29</v>
      </c>
      <c r="D1" t="s">
        <v>20</v>
      </c>
      <c r="E1" t="s">
        <v>3</v>
      </c>
      <c r="F1" t="s">
        <v>45</v>
      </c>
    </row>
    <row r="2" spans="1:10" x14ac:dyDescent="0.25">
      <c r="A2" s="24">
        <v>44048</v>
      </c>
      <c r="B2" t="s">
        <v>30</v>
      </c>
      <c r="C2">
        <v>89.713434869190138</v>
      </c>
      <c r="D2" t="s">
        <v>21</v>
      </c>
      <c r="E2">
        <v>56</v>
      </c>
      <c r="F2">
        <v>-5023.952352674648</v>
      </c>
    </row>
    <row r="3" spans="1:10" x14ac:dyDescent="0.25">
      <c r="A3" s="24">
        <v>44048</v>
      </c>
      <c r="B3" t="s">
        <v>31</v>
      </c>
      <c r="C3">
        <v>84.484326796173235</v>
      </c>
      <c r="D3" t="s">
        <v>22</v>
      </c>
      <c r="E3">
        <v>60</v>
      </c>
      <c r="F3">
        <v>5069.059607770394</v>
      </c>
    </row>
    <row r="4" spans="1:10" x14ac:dyDescent="0.25">
      <c r="A4" s="24">
        <v>44048</v>
      </c>
      <c r="B4" t="s">
        <v>32</v>
      </c>
      <c r="C4">
        <v>7.7366226728517562</v>
      </c>
      <c r="D4" t="s">
        <v>21</v>
      </c>
      <c r="E4">
        <v>46</v>
      </c>
      <c r="F4">
        <v>-355.88464295118081</v>
      </c>
    </row>
    <row r="5" spans="1:10" x14ac:dyDescent="0.25">
      <c r="A5" s="24">
        <v>44048</v>
      </c>
      <c r="B5" t="s">
        <v>33</v>
      </c>
      <c r="C5">
        <v>83.476409357033788</v>
      </c>
      <c r="D5" t="s">
        <v>22</v>
      </c>
      <c r="E5">
        <v>78</v>
      </c>
      <c r="F5">
        <v>6511.1599298486353</v>
      </c>
    </row>
    <row r="6" spans="1:10" x14ac:dyDescent="0.25">
      <c r="A6" s="24">
        <v>44048</v>
      </c>
      <c r="B6" t="s">
        <v>34</v>
      </c>
      <c r="C6">
        <v>69.554233177472639</v>
      </c>
      <c r="D6" t="s">
        <v>21</v>
      </c>
      <c r="E6">
        <v>77</v>
      </c>
      <c r="F6">
        <v>-5355.675954665393</v>
      </c>
      <c r="J6" s="23"/>
    </row>
    <row r="7" spans="1:10" x14ac:dyDescent="0.25">
      <c r="A7" s="24">
        <v>44048</v>
      </c>
      <c r="B7" t="s">
        <v>35</v>
      </c>
      <c r="C7">
        <v>4.7803263873115025</v>
      </c>
      <c r="D7" t="s">
        <v>22</v>
      </c>
      <c r="E7">
        <v>82</v>
      </c>
      <c r="F7">
        <v>391.98676375954318</v>
      </c>
    </row>
    <row r="8" spans="1:10" x14ac:dyDescent="0.25">
      <c r="A8" s="24">
        <v>44048</v>
      </c>
      <c r="B8" t="s">
        <v>36</v>
      </c>
      <c r="C8">
        <v>53.672099719445569</v>
      </c>
      <c r="D8" t="s">
        <v>21</v>
      </c>
      <c r="E8">
        <v>23</v>
      </c>
      <c r="F8">
        <v>-1234.4582935472481</v>
      </c>
    </row>
    <row r="9" spans="1:10" x14ac:dyDescent="0.25">
      <c r="A9" s="24">
        <v>44048</v>
      </c>
      <c r="B9" t="s">
        <v>37</v>
      </c>
      <c r="C9">
        <v>16.594254399704244</v>
      </c>
      <c r="D9" t="s">
        <v>21</v>
      </c>
      <c r="E9">
        <v>25</v>
      </c>
      <c r="F9">
        <v>-414.85635999260609</v>
      </c>
    </row>
    <row r="10" spans="1:10" x14ac:dyDescent="0.25">
      <c r="A10" s="24">
        <v>44048</v>
      </c>
      <c r="B10" t="s">
        <v>38</v>
      </c>
      <c r="C10">
        <v>66.191112030643239</v>
      </c>
      <c r="D10" t="s">
        <v>22</v>
      </c>
      <c r="E10">
        <v>9</v>
      </c>
      <c r="F10">
        <v>595.72000827578916</v>
      </c>
    </row>
    <row r="11" spans="1:10" x14ac:dyDescent="0.25">
      <c r="A11" s="24">
        <v>44048</v>
      </c>
      <c r="B11" t="s">
        <v>39</v>
      </c>
      <c r="C11">
        <v>13.839697857179949</v>
      </c>
      <c r="D11" t="s">
        <v>22</v>
      </c>
      <c r="E11">
        <v>63</v>
      </c>
      <c r="F11">
        <v>871.90096500233676</v>
      </c>
    </row>
    <row r="12" spans="1:10" x14ac:dyDescent="0.25">
      <c r="A12" s="24">
        <v>44048</v>
      </c>
      <c r="B12" t="s">
        <v>40</v>
      </c>
      <c r="C12">
        <v>54.348924366048344</v>
      </c>
      <c r="D12" t="s">
        <v>21</v>
      </c>
      <c r="E12">
        <v>54</v>
      </c>
      <c r="F12">
        <v>-2934.8419157666108</v>
      </c>
    </row>
    <row r="13" spans="1:10" x14ac:dyDescent="0.25">
      <c r="A13" s="24">
        <v>44048</v>
      </c>
      <c r="B13" t="s">
        <v>41</v>
      </c>
      <c r="C13">
        <v>33.62523683488272</v>
      </c>
      <c r="D13" t="s">
        <v>22</v>
      </c>
      <c r="E13">
        <v>81</v>
      </c>
      <c r="F13">
        <v>2723.6441836255003</v>
      </c>
    </row>
    <row r="14" spans="1:10" x14ac:dyDescent="0.25">
      <c r="A14" s="24">
        <v>44048</v>
      </c>
      <c r="B14" t="s">
        <v>42</v>
      </c>
      <c r="C14">
        <v>50.21628423421943</v>
      </c>
      <c r="D14" t="s">
        <v>22</v>
      </c>
      <c r="E14">
        <v>12</v>
      </c>
      <c r="F14">
        <v>602.59541081063321</v>
      </c>
    </row>
    <row r="15" spans="1:10" x14ac:dyDescent="0.25">
      <c r="A15" s="24">
        <v>44048</v>
      </c>
      <c r="B15" t="s">
        <v>43</v>
      </c>
      <c r="C15">
        <v>55.927697881709712</v>
      </c>
      <c r="D15" t="s">
        <v>21</v>
      </c>
      <c r="E15">
        <v>45</v>
      </c>
      <c r="F15">
        <v>-2516.7464046769369</v>
      </c>
    </row>
    <row r="16" spans="1:10" x14ac:dyDescent="0.25">
      <c r="A16" s="22" t="s">
        <v>48</v>
      </c>
      <c r="B16" s="22"/>
      <c r="C16" s="22"/>
      <c r="D16" s="22"/>
      <c r="E16" s="22"/>
      <c r="F16">
        <v>-1070.3490551817913</v>
      </c>
    </row>
  </sheetData>
  <mergeCells count="1">
    <mergeCell ref="A16:E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15"/>
  <sheetViews>
    <sheetView workbookViewId="0">
      <selection activeCell="B1" sqref="B1:C15"/>
    </sheetView>
  </sheetViews>
  <sheetFormatPr defaultRowHeight="15" x14ac:dyDescent="0.25"/>
  <cols>
    <col min="1" max="1" width="10.7109375" bestFit="1" customWidth="1"/>
  </cols>
  <sheetData>
    <row r="1" spans="1:3" x14ac:dyDescent="0.25">
      <c r="A1" t="s">
        <v>18</v>
      </c>
      <c r="B1" t="s">
        <v>0</v>
      </c>
      <c r="C1" t="s">
        <v>29</v>
      </c>
    </row>
    <row r="2" spans="1:3" x14ac:dyDescent="0.25">
      <c r="A2" s="1">
        <v>44048</v>
      </c>
      <c r="B2" t="s">
        <v>30</v>
      </c>
      <c r="C2">
        <v>86.250544644405664</v>
      </c>
    </row>
    <row r="3" spans="1:3" x14ac:dyDescent="0.25">
      <c r="A3" s="1">
        <v>44048</v>
      </c>
      <c r="B3" t="s">
        <v>31</v>
      </c>
      <c r="C3">
        <v>86.045662606016336</v>
      </c>
    </row>
    <row r="4" spans="1:3" x14ac:dyDescent="0.25">
      <c r="A4" s="1">
        <v>44048</v>
      </c>
      <c r="B4" t="s">
        <v>32</v>
      </c>
      <c r="C4">
        <v>2.485290423104999</v>
      </c>
    </row>
    <row r="5" spans="1:3" x14ac:dyDescent="0.25">
      <c r="A5" s="1">
        <v>44048</v>
      </c>
      <c r="B5" t="s">
        <v>33</v>
      </c>
      <c r="C5">
        <v>80.238870541275119</v>
      </c>
    </row>
    <row r="6" spans="1:3" x14ac:dyDescent="0.25">
      <c r="A6" s="1">
        <v>44048</v>
      </c>
      <c r="B6" t="s">
        <v>34</v>
      </c>
      <c r="C6">
        <v>72.358586949343305</v>
      </c>
    </row>
    <row r="7" spans="1:3" x14ac:dyDescent="0.25">
      <c r="A7" s="1">
        <v>44048</v>
      </c>
      <c r="B7" t="s">
        <v>35</v>
      </c>
      <c r="C7">
        <v>2.5607516055306867</v>
      </c>
    </row>
    <row r="8" spans="1:3" x14ac:dyDescent="0.25">
      <c r="A8" s="1">
        <v>44048</v>
      </c>
      <c r="B8" t="s">
        <v>36</v>
      </c>
      <c r="C8">
        <v>55.362113118106663</v>
      </c>
    </row>
    <row r="9" spans="1:3" x14ac:dyDescent="0.25">
      <c r="A9" s="1">
        <v>44048</v>
      </c>
      <c r="B9" t="s">
        <v>37</v>
      </c>
      <c r="C9">
        <v>21.792955259353171</v>
      </c>
    </row>
    <row r="10" spans="1:3" x14ac:dyDescent="0.25">
      <c r="A10" s="1">
        <v>44048</v>
      </c>
      <c r="B10" t="s">
        <v>38</v>
      </c>
      <c r="C10">
        <v>57.975291133839953</v>
      </c>
    </row>
    <row r="11" spans="1:3" x14ac:dyDescent="0.25">
      <c r="A11" s="1">
        <v>44048</v>
      </c>
      <c r="B11" t="s">
        <v>39</v>
      </c>
      <c r="C11">
        <v>8.9841786809455648</v>
      </c>
    </row>
    <row r="12" spans="1:3" x14ac:dyDescent="0.25">
      <c r="A12" s="1">
        <v>44048</v>
      </c>
      <c r="B12" t="s">
        <v>40</v>
      </c>
      <c r="C12">
        <v>62.37400422655832</v>
      </c>
    </row>
    <row r="13" spans="1:3" x14ac:dyDescent="0.25">
      <c r="A13" s="1">
        <v>44048</v>
      </c>
      <c r="B13" t="s">
        <v>41</v>
      </c>
      <c r="C13">
        <v>25.120079896173735</v>
      </c>
    </row>
    <row r="14" spans="1:3" x14ac:dyDescent="0.25">
      <c r="A14" s="1">
        <v>44048</v>
      </c>
      <c r="B14" t="s">
        <v>42</v>
      </c>
      <c r="C14">
        <v>43.83991197368946</v>
      </c>
    </row>
    <row r="15" spans="1:3" x14ac:dyDescent="0.25">
      <c r="A15" s="1">
        <v>44048</v>
      </c>
      <c r="B15" t="s">
        <v>43</v>
      </c>
      <c r="C15">
        <v>62.361945875858972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Dashboard</vt:lpstr>
      <vt:lpstr>Portfolio_Growth</vt:lpstr>
      <vt:lpstr>Current_Position</vt:lpstr>
      <vt:lpstr>Trans_28072020</vt:lpstr>
      <vt:lpstr>Prices_28072020</vt:lpstr>
      <vt:lpstr>Trans_31072020</vt:lpstr>
      <vt:lpstr>Prices_31072020</vt:lpstr>
      <vt:lpstr>Trans_03082020</vt:lpstr>
      <vt:lpstr>Prices_03082020</vt:lpstr>
      <vt:lpstr>Trans_05082020</vt:lpstr>
      <vt:lpstr>Prices_05082020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2020-07-27T22:07:43Z</dcterms:created>
  <dcterms:modified xsi:type="dcterms:W3CDTF">2020-08-05T01:28:09Z</dcterms:modified>
</cp:coreProperties>
</file>