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ortfolio P&amp;L\"/>
    </mc:Choice>
  </mc:AlternateContent>
  <bookViews>
    <workbookView xWindow="0" yWindow="0" windowWidth="25125" windowHeight="12000" firstSheet="1" activeTab="1"/>
  </bookViews>
  <sheets>
    <sheet name="Sheet1" sheetId="1" state="hidden" r:id="rId1"/>
    <sheet name="Dashboard" sheetId="4" r:id="rId2"/>
    <sheet name="Portfolio_Growth" sheetId="5" r:id="rId3"/>
    <sheet name="Current_Position" sheetId="3" r:id="rId4"/>
    <sheet name="Trans_28072020" sheetId="39" r:id="rId5"/>
    <sheet name="Prices_28072020" sheetId="40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" l="1"/>
  <c r="G3" i="4"/>
  <c r="F5" i="1" l="1"/>
  <c r="F4" i="1"/>
  <c r="F3" i="1"/>
  <c r="F2" i="1"/>
</calcChain>
</file>

<file path=xl/sharedStrings.xml><?xml version="1.0" encoding="utf-8"?>
<sst xmlns="http://schemas.openxmlformats.org/spreadsheetml/2006/main" count="196" uniqueCount="64">
  <si>
    <t>Stocks</t>
  </si>
  <si>
    <t>Symbols</t>
  </si>
  <si>
    <t>Trade Date</t>
  </si>
  <si>
    <t>Quantity</t>
  </si>
  <si>
    <t>Initial Price per share</t>
  </si>
  <si>
    <t>Initial Cost</t>
  </si>
  <si>
    <t>Current Price per share</t>
  </si>
  <si>
    <t>Current Market Value</t>
  </si>
  <si>
    <t>Gain/ Loss</t>
  </si>
  <si>
    <t>Alphabet Inc Class A</t>
  </si>
  <si>
    <t>GOOGL</t>
  </si>
  <si>
    <t>Apple Inc.</t>
  </si>
  <si>
    <t>AAPL</t>
  </si>
  <si>
    <t>Microsoft Corporation</t>
  </si>
  <si>
    <t>MSFT</t>
  </si>
  <si>
    <t>Tesla Inc</t>
  </si>
  <si>
    <t>TSLA</t>
  </si>
  <si>
    <t>Today's date</t>
  </si>
  <si>
    <t>Date</t>
  </si>
  <si>
    <t>Ticker</t>
  </si>
  <si>
    <t>Transaction type</t>
  </si>
  <si>
    <t>Buy</t>
  </si>
  <si>
    <t>Sell</t>
  </si>
  <si>
    <t>Available Cash</t>
  </si>
  <si>
    <t>Total</t>
  </si>
  <si>
    <t>Top Gainers/ Lossers</t>
  </si>
  <si>
    <t>Portfolio Growth</t>
  </si>
  <si>
    <t>Current Holdings</t>
  </si>
  <si>
    <t>Summary</t>
  </si>
  <si>
    <t>Last Price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</si>
  <si>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</si>
  <si>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</si>
  <si>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</si>
  <si>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</si>
  <si>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</si>
  <si>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</si>
  <si>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</si>
  <si>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</si>
  <si>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</si>
  <si>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</si>
  <si>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</si>
  <si>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</si>
  <si>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</si>
  <si>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</si>
  <si>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28/07/2020</t>
  </si>
  <si>
    <t>Total Amount</t>
  </si>
  <si>
    <t>Today's Cash Position</t>
  </si>
  <si>
    <t>Net Cash Position</t>
  </si>
  <si>
    <t>Grand Total</t>
  </si>
  <si>
    <t>Current Share held</t>
  </si>
  <si>
    <t>Net Share held</t>
  </si>
  <si>
    <t>Today's stock price</t>
  </si>
  <si>
    <t>Today's share position</t>
  </si>
  <si>
    <t>Total Share Position</t>
  </si>
  <si>
    <t>Today's Shares held</t>
  </si>
  <si>
    <t>Portfolio P&amp;L %</t>
  </si>
  <si>
    <t>Portfolio Position - 29/07/2020</t>
  </si>
  <si>
    <t>Last P&amp;L Analysis Date</t>
  </si>
  <si>
    <t>Current Portfolio Analysis Date</t>
  </si>
  <si>
    <t>Current Share Price</t>
  </si>
  <si>
    <t>Today's Date</t>
  </si>
  <si>
    <t>29/07/2020</t>
  </si>
  <si>
    <t>Top Losers</t>
  </si>
  <si>
    <t>Top Gainers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</si>
</sst>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16" fontId="0" fillId="0" borderId="0" xfId="0" applyNumberFormat="1"/>
    <xf numFmtId="164" fontId="0" fillId="0" borderId="0" xfId="1" applyFont="1"/>
    <xf numFmtId="0" fontId="0" fillId="0" borderId="0" xfId="0"/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0" xfId="0" applyAlignment="1"/>
    <xf numFmtId="0" fontId="0" fillId="0" borderId="0" xfId="0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4-4FED-96FC-D73DE15F0DEE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94-4FED-96FC-D73DE15F0DEE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94-4FED-96FC-D73DE15F0DEE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94-4FED-96FC-D73DE15F0DEE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94-4FED-96FC-D73DE15F0DEE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94-4FED-96FC-D73DE15F0DEE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94-4FED-96FC-D73DE15F0DEE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594-4FED-96FC-D73DE15F0DEE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94-4FED-96FC-D73DE15F0DEE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94-4FED-96FC-D73DE15F0DEE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94-4FED-96FC-D73DE15F0DEE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594-4FED-96FC-D73DE15F0DEE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594-4FED-96FC-D73DE15F0DEE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594-4FED-96FC-D73DE15F0DEE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594-4FED-96FC-D73DE15F0DEE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594-4FED-96FC-D73DE15F0DEE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594-4FED-96FC-D73DE15F0DEE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594-4FED-96FC-D73DE15F0DEE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594-4FED-96FC-D73DE15F0DEE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594-4FED-96FC-D73DE15F0DEE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594-4FED-96FC-D73DE15F0DEE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594-4FED-96FC-D73DE15F0DEE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594-4FED-96FC-D73DE15F0DEE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594-4FED-96FC-D73DE15F0DEE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594-4FED-96FC-D73DE15F0DEE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594-4FED-96FC-D73DE15F0DEE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594-4FED-96FC-D73DE15F0DEE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594-4FED-96FC-D73DE15F0DEE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594-4FED-96FC-D73DE15F0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963104"/>
        <c:axId val="485968024"/>
      </c:lineChart>
      <c:catAx>
        <c:axId val="48596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968024"/>
        <c:crosses val="autoZero"/>
        <c:auto val="1"/>
        <c:lblAlgn val="ctr"/>
        <c:lblOffset val="100"/>
        <c:noMultiLvlLbl val="0"/>
      </c:catAx>
      <c:valAx>
        <c:axId val="485968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963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F3-4378-AC01-72D5F52E4526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F3-4378-AC01-72D5F52E4526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F3-4378-AC01-72D5F52E4526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F3-4378-AC01-72D5F52E4526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F3-4378-AC01-72D5F52E4526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F3-4378-AC01-72D5F52E4526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F3-4378-AC01-72D5F52E4526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AF3-4378-AC01-72D5F52E4526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AF3-4378-AC01-72D5F52E4526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AF3-4378-AC01-72D5F52E4526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AF3-4378-AC01-72D5F52E4526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AF3-4378-AC01-72D5F52E4526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AF3-4378-AC01-72D5F52E4526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AF3-4378-AC01-72D5F52E4526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AF3-4378-AC01-72D5F52E4526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AF3-4378-AC01-72D5F52E4526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AF3-4378-AC01-72D5F52E4526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AF3-4378-AC01-72D5F52E4526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AF3-4378-AC01-72D5F52E4526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AF3-4378-AC01-72D5F52E4526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AF3-4378-AC01-72D5F52E4526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AF3-4378-AC01-72D5F52E4526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AF3-4378-AC01-72D5F52E4526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AF3-4378-AC01-72D5F52E4526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AF3-4378-AC01-72D5F52E4526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AF3-4378-AC01-72D5F52E4526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AF3-4378-AC01-72D5F52E4526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AF3-4378-AC01-72D5F52E4526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AF3-4378-AC01-72D5F52E4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29448"/>
        <c:axId val="645026824"/>
      </c:lineChart>
      <c:catAx>
        <c:axId val="645029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26824"/>
        <c:crosses val="autoZero"/>
        <c:auto val="1"/>
        <c:lblAlgn val="ctr"/>
        <c:lblOffset val="100"/>
        <c:noMultiLvlLbl val="0"/>
      </c:catAx>
      <c:valAx>
        <c:axId val="645026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29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0-4288-BCA8-74A06B5A0B9F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20-4288-BCA8-74A06B5A0B9F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20-4288-BCA8-74A06B5A0B9F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20-4288-BCA8-74A06B5A0B9F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20-4288-BCA8-74A06B5A0B9F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F20-4288-BCA8-74A06B5A0B9F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F20-4288-BCA8-74A06B5A0B9F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F20-4288-BCA8-74A06B5A0B9F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F20-4288-BCA8-74A06B5A0B9F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F20-4288-BCA8-74A06B5A0B9F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F20-4288-BCA8-74A06B5A0B9F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F20-4288-BCA8-74A06B5A0B9F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F20-4288-BCA8-74A06B5A0B9F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F20-4288-BCA8-74A06B5A0B9F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F20-4288-BCA8-74A06B5A0B9F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F20-4288-BCA8-74A06B5A0B9F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F20-4288-BCA8-74A06B5A0B9F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F20-4288-BCA8-74A06B5A0B9F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F20-4288-BCA8-74A06B5A0B9F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F20-4288-BCA8-74A06B5A0B9F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F20-4288-BCA8-74A06B5A0B9F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F20-4288-BCA8-74A06B5A0B9F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F20-4288-BCA8-74A06B5A0B9F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F20-4288-BCA8-74A06B5A0B9F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F20-4288-BCA8-74A06B5A0B9F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F20-4288-BCA8-74A06B5A0B9F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F20-4288-BCA8-74A06B5A0B9F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F20-4288-BCA8-74A06B5A0B9F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F20-4288-BCA8-74A06B5A0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31744"/>
        <c:axId val="645034368"/>
      </c:lineChart>
      <c:catAx>
        <c:axId val="6450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34368"/>
        <c:crosses val="autoZero"/>
        <c:auto val="1"/>
        <c:lblAlgn val="ctr"/>
        <c:lblOffset val="100"/>
        <c:noMultiLvlLbl val="0"/>
      </c:catAx>
      <c:valAx>
        <c:axId val="64503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31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84-4065-A2C6-E648D4781FA3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84-4065-A2C6-E648D4781FA3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84-4065-A2C6-E648D4781FA3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84-4065-A2C6-E648D4781FA3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84-4065-A2C6-E648D4781FA3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984-4065-A2C6-E648D4781FA3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84-4065-A2C6-E648D4781FA3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84-4065-A2C6-E648D4781FA3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984-4065-A2C6-E648D4781FA3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984-4065-A2C6-E648D4781FA3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984-4065-A2C6-E648D4781FA3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984-4065-A2C6-E648D4781FA3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984-4065-A2C6-E648D4781FA3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984-4065-A2C6-E648D4781FA3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984-4065-A2C6-E648D4781FA3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984-4065-A2C6-E648D4781FA3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984-4065-A2C6-E648D4781FA3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984-4065-A2C6-E648D4781FA3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984-4065-A2C6-E648D4781FA3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984-4065-A2C6-E648D4781FA3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984-4065-A2C6-E648D4781FA3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984-4065-A2C6-E648D4781FA3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984-4065-A2C6-E648D4781FA3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984-4065-A2C6-E648D4781FA3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984-4065-A2C6-E648D4781FA3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984-4065-A2C6-E648D4781FA3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984-4065-A2C6-E648D4781FA3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984-4065-A2C6-E648D4781FA3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984-4065-A2C6-E648D4781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28792"/>
        <c:axId val="645031416"/>
      </c:lineChart>
      <c:catAx>
        <c:axId val="645028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31416"/>
        <c:crosses val="autoZero"/>
        <c:auto val="1"/>
        <c:lblAlgn val="ctr"/>
        <c:lblOffset val="100"/>
        <c:noMultiLvlLbl val="0"/>
      </c:catAx>
      <c:valAx>
        <c:axId val="645031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28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E-453D-AB86-B2E7F8F89937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E-453D-AB86-B2E7F8F89937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BE-453D-AB86-B2E7F8F89937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BE-453D-AB86-B2E7F8F89937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BE-453D-AB86-B2E7F8F89937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BE-453D-AB86-B2E7F8F89937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BE-453D-AB86-B2E7F8F89937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BE-453D-AB86-B2E7F8F89937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BE-453D-AB86-B2E7F8F89937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3BE-453D-AB86-B2E7F8F89937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BE-453D-AB86-B2E7F8F89937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3BE-453D-AB86-B2E7F8F89937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3BE-453D-AB86-B2E7F8F89937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3BE-453D-AB86-B2E7F8F89937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3BE-453D-AB86-B2E7F8F89937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3BE-453D-AB86-B2E7F8F89937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3BE-453D-AB86-B2E7F8F89937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3BE-453D-AB86-B2E7F8F89937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3BE-453D-AB86-B2E7F8F89937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3BE-453D-AB86-B2E7F8F89937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3BE-453D-AB86-B2E7F8F89937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3BE-453D-AB86-B2E7F8F89937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3BE-453D-AB86-B2E7F8F89937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3BE-453D-AB86-B2E7F8F89937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3BE-453D-AB86-B2E7F8F89937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3BE-453D-AB86-B2E7F8F89937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3BE-453D-AB86-B2E7F8F89937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3BE-453D-AB86-B2E7F8F89937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3BE-453D-AB86-B2E7F8F8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34696"/>
        <c:axId val="645035352"/>
      </c:lineChart>
      <c:catAx>
        <c:axId val="645034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35352"/>
        <c:crosses val="autoZero"/>
        <c:auto val="1"/>
        <c:lblAlgn val="ctr"/>
        <c:lblOffset val="100"/>
        <c:noMultiLvlLbl val="0"/>
      </c:catAx>
      <c:valAx>
        <c:axId val="645035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34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6A-4CE1-B11C-896B8A810219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6A-4CE1-B11C-896B8A810219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6A-4CE1-B11C-896B8A810219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6A-4CE1-B11C-896B8A810219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6A-4CE1-B11C-896B8A810219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06A-4CE1-B11C-896B8A810219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06A-4CE1-B11C-896B8A810219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06A-4CE1-B11C-896B8A810219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06A-4CE1-B11C-896B8A810219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06A-4CE1-B11C-896B8A810219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06A-4CE1-B11C-896B8A810219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06A-4CE1-B11C-896B8A810219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06A-4CE1-B11C-896B8A810219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06A-4CE1-B11C-896B8A810219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06A-4CE1-B11C-896B8A810219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06A-4CE1-B11C-896B8A810219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06A-4CE1-B11C-896B8A810219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06A-4CE1-B11C-896B8A810219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06A-4CE1-B11C-896B8A810219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06A-4CE1-B11C-896B8A810219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06A-4CE1-B11C-896B8A810219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06A-4CE1-B11C-896B8A810219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06A-4CE1-B11C-896B8A810219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06A-4CE1-B11C-896B8A810219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06A-4CE1-B11C-896B8A810219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06A-4CE1-B11C-896B8A810219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06A-4CE1-B11C-896B8A810219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06A-4CE1-B11C-896B8A810219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06A-4CE1-B11C-896B8A810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39616"/>
        <c:axId val="645043880"/>
      </c:lineChart>
      <c:catAx>
        <c:axId val="64503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43880"/>
        <c:crosses val="autoZero"/>
        <c:auto val="1"/>
        <c:lblAlgn val="ctr"/>
        <c:lblOffset val="100"/>
        <c:noMultiLvlLbl val="0"/>
      </c:catAx>
      <c:valAx>
        <c:axId val="645043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3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7D-4AE5-A4E4-F2490475C922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7D-4AE5-A4E4-F2490475C922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7D-4AE5-A4E4-F2490475C922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7D-4AE5-A4E4-F2490475C922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7D-4AE5-A4E4-F2490475C922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7D-4AE5-A4E4-F2490475C922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7D-4AE5-A4E4-F2490475C922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7D-4AE5-A4E4-F2490475C922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7D-4AE5-A4E4-F2490475C922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7D-4AE5-A4E4-F2490475C922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7D-4AE5-A4E4-F2490475C922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7D-4AE5-A4E4-F2490475C922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B7D-4AE5-A4E4-F2490475C922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B7D-4AE5-A4E4-F2490475C922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B7D-4AE5-A4E4-F2490475C922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B7D-4AE5-A4E4-F2490475C922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B7D-4AE5-A4E4-F2490475C922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B7D-4AE5-A4E4-F2490475C922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B7D-4AE5-A4E4-F2490475C922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B7D-4AE5-A4E4-F2490475C922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B7D-4AE5-A4E4-F2490475C922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B7D-4AE5-A4E4-F2490475C922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B7D-4AE5-A4E4-F2490475C922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B7D-4AE5-A4E4-F2490475C922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B7D-4AE5-A4E4-F2490475C922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B7D-4AE5-A4E4-F2490475C922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B7D-4AE5-A4E4-F2490475C922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B7D-4AE5-A4E4-F2490475C922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B7D-4AE5-A4E4-F2490475C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36336"/>
        <c:axId val="645043552"/>
      </c:lineChart>
      <c:catAx>
        <c:axId val="645036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43552"/>
        <c:crosses val="autoZero"/>
        <c:auto val="1"/>
        <c:lblAlgn val="ctr"/>
        <c:lblOffset val="100"/>
        <c:noMultiLvlLbl val="0"/>
      </c:catAx>
      <c:valAx>
        <c:axId val="64504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36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F8-406C-B585-3DE2608B5E52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F8-406C-B585-3DE2608B5E52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F8-406C-B585-3DE2608B5E52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F8-406C-B585-3DE2608B5E52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F8-406C-B585-3DE2608B5E52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F8-406C-B585-3DE2608B5E52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3F8-406C-B585-3DE2608B5E52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3F8-406C-B585-3DE2608B5E52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3F8-406C-B585-3DE2608B5E52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3F8-406C-B585-3DE2608B5E52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3F8-406C-B585-3DE2608B5E52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3F8-406C-B585-3DE2608B5E52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3F8-406C-B585-3DE2608B5E52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3F8-406C-B585-3DE2608B5E52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3F8-406C-B585-3DE2608B5E52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3F8-406C-B585-3DE2608B5E52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3F8-406C-B585-3DE2608B5E52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3F8-406C-B585-3DE2608B5E52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3F8-406C-B585-3DE2608B5E52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3F8-406C-B585-3DE2608B5E52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3F8-406C-B585-3DE2608B5E52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3F8-406C-B585-3DE2608B5E52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3F8-406C-B585-3DE2608B5E52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3F8-406C-B585-3DE2608B5E52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3F8-406C-B585-3DE2608B5E52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3F8-406C-B585-3DE2608B5E52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3F8-406C-B585-3DE2608B5E52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3F8-406C-B585-3DE2608B5E52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3F8-406C-B585-3DE2608B5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42896"/>
        <c:axId val="645037976"/>
      </c:lineChart>
      <c:catAx>
        <c:axId val="64504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37976"/>
        <c:crosses val="autoZero"/>
        <c:auto val="1"/>
        <c:lblAlgn val="ctr"/>
        <c:lblOffset val="100"/>
        <c:noMultiLvlLbl val="0"/>
      </c:catAx>
      <c:valAx>
        <c:axId val="645037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42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A-4C11-8A5C-72CFCD57F3BE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FA-4C11-8A5C-72CFCD57F3BE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FA-4C11-8A5C-72CFCD57F3BE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FA-4C11-8A5C-72CFCD57F3BE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FA-4C11-8A5C-72CFCD57F3BE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FA-4C11-8A5C-72CFCD57F3BE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FA-4C11-8A5C-72CFCD57F3BE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FA-4C11-8A5C-72CFCD57F3BE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FA-4C11-8A5C-72CFCD57F3BE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FA-4C11-8A5C-72CFCD57F3BE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FA-4C11-8A5C-72CFCD57F3BE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FA-4C11-8A5C-72CFCD57F3BE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FA-4C11-8A5C-72CFCD57F3BE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FA-4C11-8A5C-72CFCD57F3BE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FA-4C11-8A5C-72CFCD57F3BE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0FA-4C11-8A5C-72CFCD57F3BE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0FA-4C11-8A5C-72CFCD57F3BE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0FA-4C11-8A5C-72CFCD57F3BE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0FA-4C11-8A5C-72CFCD57F3BE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0FA-4C11-8A5C-72CFCD57F3BE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0FA-4C11-8A5C-72CFCD57F3BE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0FA-4C11-8A5C-72CFCD57F3BE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0FA-4C11-8A5C-72CFCD57F3BE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0FA-4C11-8A5C-72CFCD57F3BE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0FA-4C11-8A5C-72CFCD57F3BE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0FA-4C11-8A5C-72CFCD57F3BE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0FA-4C11-8A5C-72CFCD57F3BE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0FA-4C11-8A5C-72CFCD57F3BE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0FA-4C11-8A5C-72CFCD57F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40272"/>
        <c:axId val="645042240"/>
      </c:lineChart>
      <c:catAx>
        <c:axId val="6450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42240"/>
        <c:crosses val="autoZero"/>
        <c:auto val="1"/>
        <c:lblAlgn val="ctr"/>
        <c:lblOffset val="100"/>
        <c:noMultiLvlLbl val="0"/>
      </c:catAx>
      <c:valAx>
        <c:axId val="64504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F-4FCF-9CD6-78BBA8CFD445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F-4FCF-9CD6-78BBA8CFD445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AF-4FCF-9CD6-78BBA8CFD445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AF-4FCF-9CD6-78BBA8CFD445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AF-4FCF-9CD6-78BBA8CFD445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AF-4FCF-9CD6-78BBA8CFD445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AF-4FCF-9CD6-78BBA8CFD445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2AF-4FCF-9CD6-78BBA8CFD445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2AF-4FCF-9CD6-78BBA8CFD445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2AF-4FCF-9CD6-78BBA8CFD445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2AF-4FCF-9CD6-78BBA8CFD445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2AF-4FCF-9CD6-78BBA8CFD445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2AF-4FCF-9CD6-78BBA8CFD445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2AF-4FCF-9CD6-78BBA8CFD445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2AF-4FCF-9CD6-78BBA8CFD445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2AF-4FCF-9CD6-78BBA8CFD445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2AF-4FCF-9CD6-78BBA8CFD445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2AF-4FCF-9CD6-78BBA8CFD445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2AF-4FCF-9CD6-78BBA8CFD445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2AF-4FCF-9CD6-78BBA8CFD445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2AF-4FCF-9CD6-78BBA8CFD445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2AF-4FCF-9CD6-78BBA8CFD445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2AF-4FCF-9CD6-78BBA8CFD445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2AF-4FCF-9CD6-78BBA8CFD445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2AF-4FCF-9CD6-78BBA8CFD445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2AF-4FCF-9CD6-78BBA8CFD445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2AF-4FCF-9CD6-78BBA8CFD445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2AF-4FCF-9CD6-78BBA8CFD445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2AF-4FCF-9CD6-78BBA8CFD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48472"/>
        <c:axId val="645053392"/>
      </c:lineChart>
      <c:catAx>
        <c:axId val="645048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53392"/>
        <c:crosses val="autoZero"/>
        <c:auto val="1"/>
        <c:lblAlgn val="ctr"/>
        <c:lblOffset val="100"/>
        <c:noMultiLvlLbl val="0"/>
      </c:catAx>
      <c:valAx>
        <c:axId val="64505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48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2C-4E53-8ED2-24DE1D922C22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2C-4E53-8ED2-24DE1D922C22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2C-4E53-8ED2-24DE1D922C22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2C-4E53-8ED2-24DE1D922C22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2C-4E53-8ED2-24DE1D922C22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12C-4E53-8ED2-24DE1D922C22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12C-4E53-8ED2-24DE1D922C22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12C-4E53-8ED2-24DE1D922C22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12C-4E53-8ED2-24DE1D922C22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12C-4E53-8ED2-24DE1D922C22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12C-4E53-8ED2-24DE1D922C22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12C-4E53-8ED2-24DE1D922C22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12C-4E53-8ED2-24DE1D922C22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12C-4E53-8ED2-24DE1D922C22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12C-4E53-8ED2-24DE1D922C22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12C-4E53-8ED2-24DE1D922C22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12C-4E53-8ED2-24DE1D922C22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12C-4E53-8ED2-24DE1D922C22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12C-4E53-8ED2-24DE1D922C22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12C-4E53-8ED2-24DE1D922C22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12C-4E53-8ED2-24DE1D922C22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12C-4E53-8ED2-24DE1D922C22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12C-4E53-8ED2-24DE1D922C22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12C-4E53-8ED2-24DE1D922C22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12C-4E53-8ED2-24DE1D922C22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12C-4E53-8ED2-24DE1D922C22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12C-4E53-8ED2-24DE1D922C22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12C-4E53-8ED2-24DE1D922C22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12C-4E53-8ED2-24DE1D922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51752"/>
        <c:axId val="645052080"/>
      </c:lineChart>
      <c:catAx>
        <c:axId val="645051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52080"/>
        <c:crosses val="autoZero"/>
        <c:auto val="1"/>
        <c:lblAlgn val="ctr"/>
        <c:lblOffset val="100"/>
        <c:noMultiLvlLbl val="0"/>
      </c:catAx>
      <c:valAx>
        <c:axId val="64505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51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B6-40A3-8F2A-2A4CBB7E0547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B6-40A3-8F2A-2A4CBB7E0547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B6-40A3-8F2A-2A4CBB7E0547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B6-40A3-8F2A-2A4CBB7E0547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B6-40A3-8F2A-2A4CBB7E0547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B6-40A3-8F2A-2A4CBB7E0547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CB6-40A3-8F2A-2A4CBB7E0547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B6-40A3-8F2A-2A4CBB7E0547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CB6-40A3-8F2A-2A4CBB7E0547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CB6-40A3-8F2A-2A4CBB7E0547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CB6-40A3-8F2A-2A4CBB7E0547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CB6-40A3-8F2A-2A4CBB7E0547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CB6-40A3-8F2A-2A4CBB7E0547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CB6-40A3-8F2A-2A4CBB7E0547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CB6-40A3-8F2A-2A4CBB7E0547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CB6-40A3-8F2A-2A4CBB7E0547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CB6-40A3-8F2A-2A4CBB7E0547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CB6-40A3-8F2A-2A4CBB7E0547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CB6-40A3-8F2A-2A4CBB7E0547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CB6-40A3-8F2A-2A4CBB7E0547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CB6-40A3-8F2A-2A4CBB7E0547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CB6-40A3-8F2A-2A4CBB7E0547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CB6-40A3-8F2A-2A4CBB7E0547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CB6-40A3-8F2A-2A4CBB7E0547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CB6-40A3-8F2A-2A4CBB7E0547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CB6-40A3-8F2A-2A4CBB7E0547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CB6-40A3-8F2A-2A4CBB7E0547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CB6-40A3-8F2A-2A4CBB7E0547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CB6-40A3-8F2A-2A4CBB7E0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52736"/>
        <c:axId val="645050440"/>
      </c:lineChart>
      <c:catAx>
        <c:axId val="645052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50440"/>
        <c:crosses val="autoZero"/>
        <c:auto val="1"/>
        <c:lblAlgn val="ctr"/>
        <c:lblOffset val="100"/>
        <c:noMultiLvlLbl val="0"/>
      </c:catAx>
      <c:valAx>
        <c:axId val="645050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52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12-4FAC-AFB0-FACD2FE0591D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12-4FAC-AFB0-FACD2FE0591D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12-4FAC-AFB0-FACD2FE0591D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12-4FAC-AFB0-FACD2FE0591D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12-4FAC-AFB0-FACD2FE0591D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712-4FAC-AFB0-FACD2FE0591D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712-4FAC-AFB0-FACD2FE0591D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712-4FAC-AFB0-FACD2FE0591D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712-4FAC-AFB0-FACD2FE0591D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712-4FAC-AFB0-FACD2FE0591D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712-4FAC-AFB0-FACD2FE0591D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712-4FAC-AFB0-FACD2FE0591D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712-4FAC-AFB0-FACD2FE0591D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712-4FAC-AFB0-FACD2FE0591D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712-4FAC-AFB0-FACD2FE0591D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712-4FAC-AFB0-FACD2FE0591D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712-4FAC-AFB0-FACD2FE0591D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712-4FAC-AFB0-FACD2FE0591D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712-4FAC-AFB0-FACD2FE0591D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712-4FAC-AFB0-FACD2FE0591D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712-4FAC-AFB0-FACD2FE0591D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712-4FAC-AFB0-FACD2FE0591D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712-4FAC-AFB0-FACD2FE0591D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712-4FAC-AFB0-FACD2FE0591D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712-4FAC-AFB0-FACD2FE0591D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712-4FAC-AFB0-FACD2FE0591D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712-4FAC-AFB0-FACD2FE0591D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712-4FAC-AFB0-FACD2FE0591D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712-4FAC-AFB0-FACD2FE05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55032"/>
        <c:axId val="645055360"/>
      </c:lineChart>
      <c:catAx>
        <c:axId val="64505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55360"/>
        <c:crosses val="autoZero"/>
        <c:auto val="1"/>
        <c:lblAlgn val="ctr"/>
        <c:lblOffset val="100"/>
        <c:noMultiLvlLbl val="0"/>
      </c:catAx>
      <c:valAx>
        <c:axId val="64505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55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DC-4DB7-8804-5660ED77BFA0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DC-4DB7-8804-5660ED77BFA0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DC-4DB7-8804-5660ED77BFA0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DC-4DB7-8804-5660ED77BFA0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DC-4DB7-8804-5660ED77BFA0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CDC-4DB7-8804-5660ED77BFA0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CDC-4DB7-8804-5660ED77BFA0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CDC-4DB7-8804-5660ED77BFA0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DC-4DB7-8804-5660ED77BFA0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CDC-4DB7-8804-5660ED77BFA0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CDC-4DB7-8804-5660ED77BFA0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CDC-4DB7-8804-5660ED77BFA0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CDC-4DB7-8804-5660ED77BFA0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CDC-4DB7-8804-5660ED77BFA0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CDC-4DB7-8804-5660ED77BFA0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CDC-4DB7-8804-5660ED77BFA0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CDC-4DB7-8804-5660ED77BFA0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CDC-4DB7-8804-5660ED77BFA0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CDC-4DB7-8804-5660ED77BFA0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CDC-4DB7-8804-5660ED77BFA0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CDC-4DB7-8804-5660ED77BFA0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CDC-4DB7-8804-5660ED77BFA0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CDC-4DB7-8804-5660ED77BFA0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CDC-4DB7-8804-5660ED77BFA0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CDC-4DB7-8804-5660ED77BFA0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CDC-4DB7-8804-5660ED77BFA0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CDC-4DB7-8804-5660ED77BFA0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CDC-4DB7-8804-5660ED77BFA0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CDC-4DB7-8804-5660ED77B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46832"/>
        <c:axId val="645047488"/>
      </c:lineChart>
      <c:catAx>
        <c:axId val="64504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47488"/>
        <c:crosses val="autoZero"/>
        <c:auto val="1"/>
        <c:lblAlgn val="ctr"/>
        <c:lblOffset val="100"/>
        <c:noMultiLvlLbl val="0"/>
      </c:catAx>
      <c:valAx>
        <c:axId val="64504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46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B-49AE-89F4-F23A01F3B7D5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8B-49AE-89F4-F23A01F3B7D5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8B-49AE-89F4-F23A01F3B7D5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8B-49AE-89F4-F23A01F3B7D5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8B-49AE-89F4-F23A01F3B7D5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8B-49AE-89F4-F23A01F3B7D5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8B-49AE-89F4-F23A01F3B7D5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8B-49AE-89F4-F23A01F3B7D5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8B-49AE-89F4-F23A01F3B7D5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8B-49AE-89F4-F23A01F3B7D5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98B-49AE-89F4-F23A01F3B7D5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98B-49AE-89F4-F23A01F3B7D5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98B-49AE-89F4-F23A01F3B7D5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98B-49AE-89F4-F23A01F3B7D5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98B-49AE-89F4-F23A01F3B7D5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98B-49AE-89F4-F23A01F3B7D5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98B-49AE-89F4-F23A01F3B7D5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98B-49AE-89F4-F23A01F3B7D5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98B-49AE-89F4-F23A01F3B7D5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98B-49AE-89F4-F23A01F3B7D5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98B-49AE-89F4-F23A01F3B7D5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98B-49AE-89F4-F23A01F3B7D5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98B-49AE-89F4-F23A01F3B7D5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98B-49AE-89F4-F23A01F3B7D5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98B-49AE-89F4-F23A01F3B7D5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98B-49AE-89F4-F23A01F3B7D5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98B-49AE-89F4-F23A01F3B7D5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98B-49AE-89F4-F23A01F3B7D5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98B-49AE-89F4-F23A01F3B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03760"/>
        <c:axId val="502001464"/>
      </c:lineChart>
      <c:catAx>
        <c:axId val="50200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01464"/>
        <c:crosses val="autoZero"/>
        <c:auto val="1"/>
        <c:lblAlgn val="ctr"/>
        <c:lblOffset val="100"/>
        <c:noMultiLvlLbl val="0"/>
      </c:catAx>
      <c:valAx>
        <c:axId val="502001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03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6-4DA8-81D8-F4DA55F7A2D9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6-4DA8-81D8-F4DA55F7A2D9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D6-4DA8-81D8-F4DA55F7A2D9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D6-4DA8-81D8-F4DA55F7A2D9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D6-4DA8-81D8-F4DA55F7A2D9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D6-4DA8-81D8-F4DA55F7A2D9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D6-4DA8-81D8-F4DA55F7A2D9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D6-4DA8-81D8-F4DA55F7A2D9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2D6-4DA8-81D8-F4DA55F7A2D9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2D6-4DA8-81D8-F4DA55F7A2D9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2D6-4DA8-81D8-F4DA55F7A2D9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2D6-4DA8-81D8-F4DA55F7A2D9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2D6-4DA8-81D8-F4DA55F7A2D9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2D6-4DA8-81D8-F4DA55F7A2D9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2D6-4DA8-81D8-F4DA55F7A2D9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2D6-4DA8-81D8-F4DA55F7A2D9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2D6-4DA8-81D8-F4DA55F7A2D9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2D6-4DA8-81D8-F4DA55F7A2D9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2D6-4DA8-81D8-F4DA55F7A2D9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2D6-4DA8-81D8-F4DA55F7A2D9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2D6-4DA8-81D8-F4DA55F7A2D9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2D6-4DA8-81D8-F4DA55F7A2D9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2D6-4DA8-81D8-F4DA55F7A2D9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2D6-4DA8-81D8-F4DA55F7A2D9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2D6-4DA8-81D8-F4DA55F7A2D9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2D6-4DA8-81D8-F4DA55F7A2D9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2D6-4DA8-81D8-F4DA55F7A2D9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2D6-4DA8-81D8-F4DA55F7A2D9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2D6-4DA8-81D8-F4DA55F7A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995560"/>
        <c:axId val="501998840"/>
      </c:lineChart>
      <c:catAx>
        <c:axId val="50199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1998840"/>
        <c:crosses val="autoZero"/>
        <c:auto val="1"/>
        <c:lblAlgn val="ctr"/>
        <c:lblOffset val="100"/>
        <c:noMultiLvlLbl val="0"/>
      </c:catAx>
      <c:valAx>
        <c:axId val="501998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995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16-4EED-A8DF-886B37696804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16-4EED-A8DF-886B37696804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16-4EED-A8DF-886B37696804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16-4EED-A8DF-886B37696804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16-4EED-A8DF-886B37696804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16-4EED-A8DF-886B37696804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16-4EED-A8DF-886B37696804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16-4EED-A8DF-886B37696804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116-4EED-A8DF-886B37696804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116-4EED-A8DF-886B37696804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116-4EED-A8DF-886B37696804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116-4EED-A8DF-886B37696804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116-4EED-A8DF-886B37696804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116-4EED-A8DF-886B37696804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116-4EED-A8DF-886B37696804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116-4EED-A8DF-886B37696804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116-4EED-A8DF-886B37696804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116-4EED-A8DF-886B37696804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116-4EED-A8DF-886B37696804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116-4EED-A8DF-886B37696804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116-4EED-A8DF-886B37696804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116-4EED-A8DF-886B37696804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116-4EED-A8DF-886B37696804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116-4EED-A8DF-886B37696804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116-4EED-A8DF-886B37696804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116-4EED-A8DF-886B37696804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116-4EED-A8DF-886B37696804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116-4EED-A8DF-886B37696804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116-4EED-A8DF-886B37696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05400"/>
        <c:axId val="501997856"/>
      </c:lineChart>
      <c:catAx>
        <c:axId val="502005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1997856"/>
        <c:crosses val="autoZero"/>
        <c:auto val="1"/>
        <c:lblAlgn val="ctr"/>
        <c:lblOffset val="100"/>
        <c:noMultiLvlLbl val="0"/>
      </c:catAx>
      <c:valAx>
        <c:axId val="50199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0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E-46F3-AA5A-D1DE9EED52D3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BE-46F3-AA5A-D1DE9EED52D3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BE-46F3-AA5A-D1DE9EED52D3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BE-46F3-AA5A-D1DE9EED52D3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BE-46F3-AA5A-D1DE9EED52D3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BE-46F3-AA5A-D1DE9EED52D3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BE-46F3-AA5A-D1DE9EED52D3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BE-46F3-AA5A-D1DE9EED52D3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BE-46F3-AA5A-D1DE9EED52D3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BE-46F3-AA5A-D1DE9EED52D3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1BE-46F3-AA5A-D1DE9EED52D3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1BE-46F3-AA5A-D1DE9EED52D3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1BE-46F3-AA5A-D1DE9EED52D3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1BE-46F3-AA5A-D1DE9EED52D3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1BE-46F3-AA5A-D1DE9EED52D3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1BE-46F3-AA5A-D1DE9EED52D3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1BE-46F3-AA5A-D1DE9EED52D3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1BE-46F3-AA5A-D1DE9EED52D3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1BE-46F3-AA5A-D1DE9EED52D3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1BE-46F3-AA5A-D1DE9EED52D3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1BE-46F3-AA5A-D1DE9EED52D3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1BE-46F3-AA5A-D1DE9EED52D3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1BE-46F3-AA5A-D1DE9EED52D3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1BE-46F3-AA5A-D1DE9EED52D3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1BE-46F3-AA5A-D1DE9EED52D3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1BE-46F3-AA5A-D1DE9EED52D3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1BE-46F3-AA5A-D1DE9EED52D3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1BE-46F3-AA5A-D1DE9EED52D3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1BE-46F3-AA5A-D1DE9EED5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999496"/>
        <c:axId val="502011632"/>
      </c:lineChart>
      <c:catAx>
        <c:axId val="501999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11632"/>
        <c:crosses val="autoZero"/>
        <c:auto val="1"/>
        <c:lblAlgn val="ctr"/>
        <c:lblOffset val="100"/>
        <c:noMultiLvlLbl val="0"/>
      </c:catAx>
      <c:valAx>
        <c:axId val="50201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999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5-4530-AC94-2814D8960494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45-4530-AC94-2814D8960494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45-4530-AC94-2814D8960494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45-4530-AC94-2814D8960494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45-4530-AC94-2814D8960494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45-4530-AC94-2814D8960494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45-4530-AC94-2814D8960494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45-4530-AC94-2814D8960494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45-4530-AC94-2814D8960494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45-4530-AC94-2814D8960494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545-4530-AC94-2814D8960494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545-4530-AC94-2814D8960494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545-4530-AC94-2814D8960494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45-4530-AC94-2814D8960494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45-4530-AC94-2814D8960494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45-4530-AC94-2814D8960494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545-4530-AC94-2814D8960494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545-4530-AC94-2814D8960494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545-4530-AC94-2814D8960494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45-4530-AC94-2814D8960494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545-4530-AC94-2814D8960494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545-4530-AC94-2814D8960494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545-4530-AC94-2814D8960494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545-4530-AC94-2814D8960494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545-4530-AC94-2814D8960494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545-4530-AC94-2814D8960494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545-4530-AC94-2814D8960494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545-4530-AC94-2814D8960494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545-4530-AC94-2814D8960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07368"/>
        <c:axId val="502005728"/>
      </c:lineChart>
      <c:catAx>
        <c:axId val="502007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05728"/>
        <c:crosses val="autoZero"/>
        <c:auto val="1"/>
        <c:lblAlgn val="ctr"/>
        <c:lblOffset val="100"/>
        <c:noMultiLvlLbl val="0"/>
      </c:catAx>
      <c:valAx>
        <c:axId val="50200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07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C-4C32-95EE-393003D1B416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C-4C32-95EE-393003D1B416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0C-4C32-95EE-393003D1B416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0C-4C32-95EE-393003D1B416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0C-4C32-95EE-393003D1B416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0C-4C32-95EE-393003D1B416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0C-4C32-95EE-393003D1B416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30C-4C32-95EE-393003D1B416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30C-4C32-95EE-393003D1B416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30C-4C32-95EE-393003D1B416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30C-4C32-95EE-393003D1B416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30C-4C32-95EE-393003D1B416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30C-4C32-95EE-393003D1B416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30C-4C32-95EE-393003D1B416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30C-4C32-95EE-393003D1B416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30C-4C32-95EE-393003D1B416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30C-4C32-95EE-393003D1B416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30C-4C32-95EE-393003D1B416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30C-4C32-95EE-393003D1B416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30C-4C32-95EE-393003D1B416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30C-4C32-95EE-393003D1B416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30C-4C32-95EE-393003D1B416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30C-4C32-95EE-393003D1B416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30C-4C32-95EE-393003D1B416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30C-4C32-95EE-393003D1B416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30C-4C32-95EE-393003D1B416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30C-4C32-95EE-393003D1B416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30C-4C32-95EE-393003D1B416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30C-4C32-95EE-393003D1B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13928"/>
        <c:axId val="502009008"/>
      </c:lineChart>
      <c:catAx>
        <c:axId val="502013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09008"/>
        <c:crosses val="autoZero"/>
        <c:auto val="1"/>
        <c:lblAlgn val="ctr"/>
        <c:lblOffset val="100"/>
        <c:noMultiLvlLbl val="0"/>
      </c:catAx>
      <c:valAx>
        <c:axId val="50200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13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5-415A-B075-1F7B08E8BC19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5-415A-B075-1F7B08E8BC19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5-415A-B075-1F7B08E8BC19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5-415A-B075-1F7B08E8BC19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5-415A-B075-1F7B08E8BC19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05-415A-B075-1F7B08E8BC19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05-415A-B075-1F7B08E8BC19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05-415A-B075-1F7B08E8BC19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05-415A-B075-1F7B08E8BC19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05-415A-B075-1F7B08E8BC19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105-415A-B075-1F7B08E8BC19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105-415A-B075-1F7B08E8BC19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105-415A-B075-1F7B08E8BC19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105-415A-B075-1F7B08E8BC19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105-415A-B075-1F7B08E8BC19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105-415A-B075-1F7B08E8BC19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105-415A-B075-1F7B08E8BC19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105-415A-B075-1F7B08E8BC19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105-415A-B075-1F7B08E8BC19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105-415A-B075-1F7B08E8BC19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105-415A-B075-1F7B08E8BC19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105-415A-B075-1F7B08E8BC19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105-415A-B075-1F7B08E8BC19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105-415A-B075-1F7B08E8BC19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105-415A-B075-1F7B08E8BC19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105-415A-B075-1F7B08E8BC19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105-415A-B075-1F7B08E8BC19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105-415A-B075-1F7B08E8BC19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105-415A-B075-1F7B08E8B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06712"/>
        <c:axId val="502009992"/>
      </c:lineChart>
      <c:catAx>
        <c:axId val="502006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09992"/>
        <c:crosses val="autoZero"/>
        <c:auto val="1"/>
        <c:lblAlgn val="ctr"/>
        <c:lblOffset val="100"/>
        <c:noMultiLvlLbl val="0"/>
      </c:catAx>
      <c:valAx>
        <c:axId val="502009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067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EAA-B752-27CF32E6FF97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D-4EAA-B752-27CF32E6FF97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4D-4EAA-B752-27CF32E6FF97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4D-4EAA-B752-27CF32E6FF97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4D-4EAA-B752-27CF32E6FF97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C4D-4EAA-B752-27CF32E6FF97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C4D-4EAA-B752-27CF32E6FF97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C4D-4EAA-B752-27CF32E6FF97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C4D-4EAA-B752-27CF32E6FF97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C4D-4EAA-B752-27CF32E6FF97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C4D-4EAA-B752-27CF32E6FF97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C4D-4EAA-B752-27CF32E6FF97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C4D-4EAA-B752-27CF32E6FF97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C4D-4EAA-B752-27CF32E6FF97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C4D-4EAA-B752-27CF32E6FF97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C4D-4EAA-B752-27CF32E6FF97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C4D-4EAA-B752-27CF32E6FF97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C4D-4EAA-B752-27CF32E6FF97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C4D-4EAA-B752-27CF32E6FF97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C4D-4EAA-B752-27CF32E6FF97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C4D-4EAA-B752-27CF32E6FF97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C4D-4EAA-B752-27CF32E6FF97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C4D-4EAA-B752-27CF32E6FF97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C4D-4EAA-B752-27CF32E6FF97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C4D-4EAA-B752-27CF32E6FF97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C4D-4EAA-B752-27CF32E6FF97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C4D-4EAA-B752-27CF32E6FF97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C4D-4EAA-B752-27CF32E6FF97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C4D-4EAA-B752-27CF32E6F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19832"/>
        <c:axId val="502021800"/>
      </c:lineChart>
      <c:catAx>
        <c:axId val="50201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21800"/>
        <c:crosses val="autoZero"/>
        <c:auto val="1"/>
        <c:lblAlgn val="ctr"/>
        <c:lblOffset val="100"/>
        <c:noMultiLvlLbl val="0"/>
      </c:catAx>
      <c:valAx>
        <c:axId val="502021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19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A-4D01-B2CC-75C5DAAD1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88640"/>
        <c:axId val="485893888"/>
      </c:lineChart>
      <c:catAx>
        <c:axId val="48588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893888"/>
        <c:crosses val="autoZero"/>
        <c:auto val="1"/>
        <c:lblAlgn val="ctr"/>
        <c:lblOffset val="100"/>
        <c:noMultiLvlLbl val="0"/>
      </c:catAx>
      <c:valAx>
        <c:axId val="48589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888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F-47CF-AB78-D83CC1A73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84048"/>
        <c:axId val="485893232"/>
      </c:lineChart>
      <c:catAx>
        <c:axId val="48588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893232"/>
        <c:crosses val="autoZero"/>
        <c:auto val="1"/>
        <c:lblAlgn val="ctr"/>
        <c:lblOffset val="100"/>
        <c:noMultiLvlLbl val="0"/>
      </c:catAx>
      <c:valAx>
        <c:axId val="48589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884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0-4404-BE31-E9685F2C2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22456"/>
        <c:axId val="502022784"/>
      </c:lineChart>
      <c:catAx>
        <c:axId val="502022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22784"/>
        <c:crosses val="autoZero"/>
        <c:auto val="1"/>
        <c:lblAlgn val="ctr"/>
        <c:lblOffset val="100"/>
        <c:noMultiLvlLbl val="0"/>
      </c:catAx>
      <c:valAx>
        <c:axId val="50202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22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0-46A8-9467-7FDCED54A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26064"/>
        <c:axId val="502018192"/>
      </c:lineChart>
      <c:catAx>
        <c:axId val="50202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18192"/>
        <c:crosses val="autoZero"/>
        <c:auto val="1"/>
        <c:lblAlgn val="ctr"/>
        <c:lblOffset val="100"/>
        <c:noMultiLvlLbl val="0"/>
      </c:catAx>
      <c:valAx>
        <c:axId val="50201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26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0-468C-92D6-B21C327D9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17536"/>
        <c:axId val="502019176"/>
      </c:lineChart>
      <c:catAx>
        <c:axId val="50201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19176"/>
        <c:crosses val="autoZero"/>
        <c:auto val="1"/>
        <c:lblAlgn val="ctr"/>
        <c:lblOffset val="100"/>
        <c:noMultiLvlLbl val="0"/>
      </c:catAx>
      <c:valAx>
        <c:axId val="502019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17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68-4B60-B6A4-7EAE983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2804488"/>
        <c:axId val="402805144"/>
      </c:lineChart>
      <c:catAx>
        <c:axId val="402804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2805144"/>
        <c:crosses val="autoZero"/>
        <c:auto val="1"/>
        <c:lblAlgn val="ctr"/>
        <c:lblOffset val="100"/>
        <c:noMultiLvlLbl val="0"/>
      </c:catAx>
      <c:valAx>
        <c:axId val="402805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2804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12-452B-AF08-D807F6ABA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978848"/>
        <c:axId val="485977208"/>
      </c:lineChart>
      <c:catAx>
        <c:axId val="48597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977208"/>
        <c:crosses val="autoZero"/>
        <c:auto val="1"/>
        <c:lblAlgn val="ctr"/>
        <c:lblOffset val="100"/>
        <c:noMultiLvlLbl val="0"/>
      </c:catAx>
      <c:valAx>
        <c:axId val="485977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978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88-4EFB-AF22-1837EAA4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84376"/>
        <c:axId val="485885688"/>
      </c:lineChart>
      <c:catAx>
        <c:axId val="485884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885688"/>
        <c:crosses val="autoZero"/>
        <c:auto val="1"/>
        <c:lblAlgn val="ctr"/>
        <c:lblOffset val="100"/>
        <c:noMultiLvlLbl val="0"/>
      </c:catAx>
      <c:valAx>
        <c:axId val="485885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884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01-4511-9863-385044A91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93872"/>
        <c:axId val="690437384"/>
      </c:lineChart>
      <c:catAx>
        <c:axId val="27659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0437384"/>
        <c:crosses val="autoZero"/>
        <c:auto val="1"/>
        <c:lblAlgn val="ctr"/>
        <c:lblOffset val="100"/>
        <c:noMultiLvlLbl val="0"/>
      </c:catAx>
      <c:valAx>
        <c:axId val="690437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59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FD-4DF4-ADDD-1BB8943C3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15808"/>
        <c:axId val="688922040"/>
      </c:lineChart>
      <c:catAx>
        <c:axId val="68891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2040"/>
        <c:crosses val="autoZero"/>
        <c:auto val="1"/>
        <c:lblAlgn val="ctr"/>
        <c:lblOffset val="100"/>
        <c:noMultiLvlLbl val="0"/>
      </c:catAx>
      <c:valAx>
        <c:axId val="688922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15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0D-493C-9144-A797547CD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21384"/>
        <c:axId val="688921712"/>
      </c:lineChart>
      <c:catAx>
        <c:axId val="688921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1712"/>
        <c:crosses val="autoZero"/>
        <c:auto val="1"/>
        <c:lblAlgn val="ctr"/>
        <c:lblOffset val="100"/>
        <c:noMultiLvlLbl val="0"/>
      </c:catAx>
      <c:valAx>
        <c:axId val="68892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21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32-4B1D-8B6B-41688D864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17776"/>
        <c:axId val="688921056"/>
      </c:lineChart>
      <c:catAx>
        <c:axId val="68891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1056"/>
        <c:crosses val="autoZero"/>
        <c:auto val="1"/>
        <c:lblAlgn val="ctr"/>
        <c:lblOffset val="100"/>
        <c:noMultiLvlLbl val="0"/>
      </c:catAx>
      <c:valAx>
        <c:axId val="68892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17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D-4747-B968-AEAE713CB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20400"/>
        <c:axId val="688920728"/>
      </c:lineChart>
      <c:catAx>
        <c:axId val="68892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0728"/>
        <c:crosses val="autoZero"/>
        <c:auto val="1"/>
        <c:lblAlgn val="ctr"/>
        <c:lblOffset val="100"/>
        <c:noMultiLvlLbl val="0"/>
      </c:catAx>
      <c:valAx>
        <c:axId val="688920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20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D0-4245-B615-334F74D07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28928"/>
        <c:axId val="688927616"/>
      </c:lineChart>
      <c:catAx>
        <c:axId val="68892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7616"/>
        <c:crosses val="autoZero"/>
        <c:auto val="1"/>
        <c:lblAlgn val="ctr"/>
        <c:lblOffset val="100"/>
        <c:noMultiLvlLbl val="0"/>
      </c:catAx>
      <c:valAx>
        <c:axId val="68892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28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75-4F12-AB51-C198AD5A8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27944"/>
        <c:axId val="688934504"/>
      </c:lineChart>
      <c:catAx>
        <c:axId val="68892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34504"/>
        <c:crosses val="autoZero"/>
        <c:auto val="1"/>
        <c:lblAlgn val="ctr"/>
        <c:lblOffset val="100"/>
        <c:noMultiLvlLbl val="0"/>
      </c:catAx>
      <c:valAx>
        <c:axId val="688934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27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BC-482D-9214-B05F269E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30896"/>
        <c:axId val="688925320"/>
      </c:lineChart>
      <c:catAx>
        <c:axId val="68893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5320"/>
        <c:crosses val="autoZero"/>
        <c:auto val="1"/>
        <c:lblAlgn val="ctr"/>
        <c:lblOffset val="100"/>
        <c:noMultiLvlLbl val="0"/>
      </c:catAx>
      <c:valAx>
        <c:axId val="688925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30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D7-42F2-86B7-36C5AB3D1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31224"/>
        <c:axId val="688928600"/>
      </c:lineChart>
      <c:catAx>
        <c:axId val="68893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8600"/>
        <c:crosses val="autoZero"/>
        <c:auto val="1"/>
        <c:lblAlgn val="ctr"/>
        <c:lblOffset val="100"/>
        <c:noMultiLvlLbl val="0"/>
      </c:catAx>
      <c:valAx>
        <c:axId val="688928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31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E3-4A48-8FD3-E2A52D957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37128"/>
        <c:axId val="688943032"/>
      </c:lineChart>
      <c:catAx>
        <c:axId val="688937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43032"/>
        <c:crosses val="autoZero"/>
        <c:auto val="1"/>
        <c:lblAlgn val="ctr"/>
        <c:lblOffset val="100"/>
        <c:noMultiLvlLbl val="0"/>
      </c:catAx>
      <c:valAx>
        <c:axId val="688943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37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F-475F-8B92-9014181BA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42376"/>
        <c:axId val="688945000"/>
      </c:lineChart>
      <c:catAx>
        <c:axId val="688942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45000"/>
        <c:crosses val="autoZero"/>
        <c:auto val="1"/>
        <c:lblAlgn val="ctr"/>
        <c:lblOffset val="100"/>
        <c:noMultiLvlLbl val="0"/>
      </c:catAx>
      <c:valAx>
        <c:axId val="688945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42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B5-42E7-B63C-72AA3CC49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41064"/>
        <c:axId val="688936144"/>
      </c:lineChart>
      <c:catAx>
        <c:axId val="688941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36144"/>
        <c:crosses val="autoZero"/>
        <c:auto val="1"/>
        <c:lblAlgn val="ctr"/>
        <c:lblOffset val="100"/>
        <c:noMultiLvlLbl val="0"/>
      </c:catAx>
      <c:valAx>
        <c:axId val="68893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41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E-418A-A1D1-F14C280C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38112"/>
        <c:axId val="688938768"/>
      </c:lineChart>
      <c:catAx>
        <c:axId val="68893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38768"/>
        <c:crosses val="autoZero"/>
        <c:auto val="1"/>
        <c:lblAlgn val="ctr"/>
        <c:lblOffset val="100"/>
        <c:noMultiLvlLbl val="0"/>
      </c:catAx>
      <c:valAx>
        <c:axId val="68893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38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5-4B57-B61F-2B62EC6DC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46312"/>
        <c:axId val="688946640"/>
      </c:lineChart>
      <c:catAx>
        <c:axId val="688946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46640"/>
        <c:crosses val="autoZero"/>
        <c:auto val="1"/>
        <c:lblAlgn val="ctr"/>
        <c:lblOffset val="100"/>
        <c:noMultiLvlLbl val="0"/>
      </c:catAx>
      <c:valAx>
        <c:axId val="68894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46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Portfolio_Growth!$A$2:$A$39</c:f>
              <c:strCache>
                <c:ptCount val="38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  <c:pt idx="29">
                  <c:v>29/07/2020</c:v>
                </c:pt>
                <c:pt idx="30">
                  <c:v>29/07/2020</c:v>
                </c:pt>
                <c:pt idx="31">
                  <c:v>29/07/2020</c:v>
                </c:pt>
                <c:pt idx="32">
                  <c:v>29/07/2020</c:v>
                </c:pt>
                <c:pt idx="33">
                  <c:v>29/07/2020</c:v>
                </c:pt>
                <c:pt idx="34">
                  <c:v>29/07/2020</c:v>
                </c:pt>
                <c:pt idx="35">
                  <c:v>29/07/2020</c:v>
                </c:pt>
                <c:pt idx="36">
                  <c:v>29/07/2020</c:v>
                </c:pt>
                <c:pt idx="37">
                  <c:v>29/07/2020</c:v>
                </c:pt>
              </c:strCache>
            </c:strRef>
          </c:cat>
          <c:val>
            <c:numRef>
              <c:f>Portfolio_Growth!$B$2:$B$39</c:f>
              <c:numCache>
                <c:formatCode>General</c:formatCode>
                <c:ptCount val="38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793603.75667156884</c:v>
                </c:pt>
                <c:pt idx="30">
                  <c:v>793603.75667156884</c:v>
                </c:pt>
                <c:pt idx="31">
                  <c:v>793603.75667156884</c:v>
                </c:pt>
                <c:pt idx="32">
                  <c:v>793603.75667156884</c:v>
                </c:pt>
                <c:pt idx="33">
                  <c:v>793603.75667156884</c:v>
                </c:pt>
                <c:pt idx="34">
                  <c:v>793603.75667156884</c:v>
                </c:pt>
                <c:pt idx="35">
                  <c:v>793603.75667156884</c:v>
                </c:pt>
                <c:pt idx="36">
                  <c:v>793603.75667156884</c:v>
                </c:pt>
                <c:pt idx="37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CA-484A-A6E5-AE43B203A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4167672"/>
        <c:axId val="854163736"/>
      </c:lineChart>
      <c:catAx>
        <c:axId val="854167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854163736"/>
        <c:crosses val="autoZero"/>
        <c:auto val="1"/>
        <c:lblAlgn val="ctr"/>
        <c:lblOffset val="100"/>
        <c:tickLblSkip val="10"/>
        <c:noMultiLvlLbl val="0"/>
      </c:catAx>
      <c:valAx>
        <c:axId val="8541637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8541676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26</xdr:row>
          <xdr:rowOff>9525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Portfolio_PnL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98</xdr:row>
      <xdr:rowOff>69850</xdr:rowOff>
    </xdr:from>
    <xdr:to>
      <xdr:col>5</xdr:col>
      <xdr:colOff>60325</xdr:colOff>
      <xdr:row>112</xdr:row>
      <xdr:rowOff>146050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112</xdr:row>
      <xdr:rowOff>82550</xdr:rowOff>
    </xdr:from>
    <xdr:to>
      <xdr:col>5</xdr:col>
      <xdr:colOff>60325</xdr:colOff>
      <xdr:row>126</xdr:row>
      <xdr:rowOff>158750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</xdr:colOff>
      <xdr:row>126</xdr:row>
      <xdr:rowOff>95250</xdr:rowOff>
    </xdr:from>
    <xdr:to>
      <xdr:col>5</xdr:col>
      <xdr:colOff>60325</xdr:colOff>
      <xdr:row>140</xdr:row>
      <xdr:rowOff>171450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140</xdr:row>
      <xdr:rowOff>107950</xdr:rowOff>
    </xdr:from>
    <xdr:to>
      <xdr:col>5</xdr:col>
      <xdr:colOff>60325</xdr:colOff>
      <xdr:row>154</xdr:row>
      <xdr:rowOff>184150</xdr:rowOff>
    </xdr:to>
    <xdr:graphicFrame macro="">
      <xdr:nvGraphicFramePr>
        <xdr:cNvPr id="4096" name="Chart 40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154</xdr:row>
      <xdr:rowOff>120650</xdr:rowOff>
    </xdr:from>
    <xdr:to>
      <xdr:col>5</xdr:col>
      <xdr:colOff>60325</xdr:colOff>
      <xdr:row>169</xdr:row>
      <xdr:rowOff>6350</xdr:rowOff>
    </xdr:to>
    <xdr:graphicFrame macro="">
      <xdr:nvGraphicFramePr>
        <xdr:cNvPr id="4098" name="Chart 40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</xdr:colOff>
      <xdr:row>168</xdr:row>
      <xdr:rowOff>133350</xdr:rowOff>
    </xdr:from>
    <xdr:to>
      <xdr:col>5</xdr:col>
      <xdr:colOff>60325</xdr:colOff>
      <xdr:row>183</xdr:row>
      <xdr:rowOff>19050</xdr:rowOff>
    </xdr:to>
    <xdr:graphicFrame macro="">
      <xdr:nvGraphicFramePr>
        <xdr:cNvPr id="4099" name="Chart 40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</xdr:colOff>
      <xdr:row>182</xdr:row>
      <xdr:rowOff>146050</xdr:rowOff>
    </xdr:from>
    <xdr:to>
      <xdr:col>5</xdr:col>
      <xdr:colOff>60325</xdr:colOff>
      <xdr:row>197</xdr:row>
      <xdr:rowOff>31750</xdr:rowOff>
    </xdr:to>
    <xdr:graphicFrame macro="">
      <xdr:nvGraphicFramePr>
        <xdr:cNvPr id="4100" name="Chart 40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196</xdr:row>
      <xdr:rowOff>158750</xdr:rowOff>
    </xdr:from>
    <xdr:to>
      <xdr:col>5</xdr:col>
      <xdr:colOff>60325</xdr:colOff>
      <xdr:row>211</xdr:row>
      <xdr:rowOff>44450</xdr:rowOff>
    </xdr:to>
    <xdr:graphicFrame macro="">
      <xdr:nvGraphicFramePr>
        <xdr:cNvPr id="4101" name="Chart 4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</xdr:colOff>
      <xdr:row>210</xdr:row>
      <xdr:rowOff>171450</xdr:rowOff>
    </xdr:from>
    <xdr:to>
      <xdr:col>5</xdr:col>
      <xdr:colOff>60325</xdr:colOff>
      <xdr:row>225</xdr:row>
      <xdr:rowOff>57150</xdr:rowOff>
    </xdr:to>
    <xdr:graphicFrame macro="">
      <xdr:nvGraphicFramePr>
        <xdr:cNvPr id="4102" name="Chart 4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12700</xdr:colOff>
      <xdr:row>224</xdr:row>
      <xdr:rowOff>184150</xdr:rowOff>
    </xdr:from>
    <xdr:to>
      <xdr:col>5</xdr:col>
      <xdr:colOff>60325</xdr:colOff>
      <xdr:row>239</xdr:row>
      <xdr:rowOff>69850</xdr:rowOff>
    </xdr:to>
    <xdr:graphicFrame macro="">
      <xdr:nvGraphicFramePr>
        <xdr:cNvPr id="4103" name="Chart 4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239</xdr:row>
      <xdr:rowOff>6350</xdr:rowOff>
    </xdr:from>
    <xdr:to>
      <xdr:col>5</xdr:col>
      <xdr:colOff>60325</xdr:colOff>
      <xdr:row>253</xdr:row>
      <xdr:rowOff>82550</xdr:rowOff>
    </xdr:to>
    <xdr:graphicFrame macro="">
      <xdr:nvGraphicFramePr>
        <xdr:cNvPr id="4104" name="Chart 4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253</xdr:row>
      <xdr:rowOff>19050</xdr:rowOff>
    </xdr:from>
    <xdr:to>
      <xdr:col>5</xdr:col>
      <xdr:colOff>60325</xdr:colOff>
      <xdr:row>267</xdr:row>
      <xdr:rowOff>95250</xdr:rowOff>
    </xdr:to>
    <xdr:graphicFrame macro="">
      <xdr:nvGraphicFramePr>
        <xdr:cNvPr id="4105" name="Chart 4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267</xdr:row>
      <xdr:rowOff>31750</xdr:rowOff>
    </xdr:from>
    <xdr:to>
      <xdr:col>5</xdr:col>
      <xdr:colOff>60325</xdr:colOff>
      <xdr:row>281</xdr:row>
      <xdr:rowOff>107950</xdr:rowOff>
    </xdr:to>
    <xdr:graphicFrame macro="">
      <xdr:nvGraphicFramePr>
        <xdr:cNvPr id="4106" name="Chart 4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12700</xdr:colOff>
      <xdr:row>281</xdr:row>
      <xdr:rowOff>44450</xdr:rowOff>
    </xdr:from>
    <xdr:to>
      <xdr:col>5</xdr:col>
      <xdr:colOff>60325</xdr:colOff>
      <xdr:row>295</xdr:row>
      <xdr:rowOff>120650</xdr:rowOff>
    </xdr:to>
    <xdr:graphicFrame macro="">
      <xdr:nvGraphicFramePr>
        <xdr:cNvPr id="4107" name="Chart 4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12700</xdr:colOff>
      <xdr:row>295</xdr:row>
      <xdr:rowOff>57150</xdr:rowOff>
    </xdr:from>
    <xdr:to>
      <xdr:col>5</xdr:col>
      <xdr:colOff>60325</xdr:colOff>
      <xdr:row>309</xdr:row>
      <xdr:rowOff>133350</xdr:rowOff>
    </xdr:to>
    <xdr:graphicFrame macro="">
      <xdr:nvGraphicFramePr>
        <xdr:cNvPr id="4108" name="Chart 4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12700</xdr:colOff>
      <xdr:row>309</xdr:row>
      <xdr:rowOff>69850</xdr:rowOff>
    </xdr:from>
    <xdr:to>
      <xdr:col>5</xdr:col>
      <xdr:colOff>60325</xdr:colOff>
      <xdr:row>323</xdr:row>
      <xdr:rowOff>146050</xdr:rowOff>
    </xdr:to>
    <xdr:graphicFrame macro="">
      <xdr:nvGraphicFramePr>
        <xdr:cNvPr id="4109" name="Chart 4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12700</xdr:colOff>
      <xdr:row>323</xdr:row>
      <xdr:rowOff>82550</xdr:rowOff>
    </xdr:from>
    <xdr:to>
      <xdr:col>5</xdr:col>
      <xdr:colOff>60325</xdr:colOff>
      <xdr:row>337</xdr:row>
      <xdr:rowOff>158750</xdr:rowOff>
    </xdr:to>
    <xdr:graphicFrame macro="">
      <xdr:nvGraphicFramePr>
        <xdr:cNvPr id="4110" name="Chart 4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12700</xdr:colOff>
      <xdr:row>337</xdr:row>
      <xdr:rowOff>95250</xdr:rowOff>
    </xdr:from>
    <xdr:to>
      <xdr:col>5</xdr:col>
      <xdr:colOff>60325</xdr:colOff>
      <xdr:row>351</xdr:row>
      <xdr:rowOff>171450</xdr:rowOff>
    </xdr:to>
    <xdr:graphicFrame macro="">
      <xdr:nvGraphicFramePr>
        <xdr:cNvPr id="4111" name="Chart 4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12700</xdr:colOff>
      <xdr:row>351</xdr:row>
      <xdr:rowOff>107950</xdr:rowOff>
    </xdr:from>
    <xdr:to>
      <xdr:col>5</xdr:col>
      <xdr:colOff>60325</xdr:colOff>
      <xdr:row>365</xdr:row>
      <xdr:rowOff>184150</xdr:rowOff>
    </xdr:to>
    <xdr:graphicFrame macro="">
      <xdr:nvGraphicFramePr>
        <xdr:cNvPr id="4112" name="Chart 4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12700</xdr:colOff>
      <xdr:row>365</xdr:row>
      <xdr:rowOff>120650</xdr:rowOff>
    </xdr:from>
    <xdr:to>
      <xdr:col>5</xdr:col>
      <xdr:colOff>60325</xdr:colOff>
      <xdr:row>380</xdr:row>
      <xdr:rowOff>6350</xdr:rowOff>
    </xdr:to>
    <xdr:graphicFrame macro="">
      <xdr:nvGraphicFramePr>
        <xdr:cNvPr id="4113" name="Chart 4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12700</xdr:colOff>
      <xdr:row>379</xdr:row>
      <xdr:rowOff>133350</xdr:rowOff>
    </xdr:from>
    <xdr:to>
      <xdr:col>5</xdr:col>
      <xdr:colOff>60325</xdr:colOff>
      <xdr:row>394</xdr:row>
      <xdr:rowOff>19050</xdr:rowOff>
    </xdr:to>
    <xdr:graphicFrame macro="">
      <xdr:nvGraphicFramePr>
        <xdr:cNvPr id="4114" name="Chart 4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12700</xdr:colOff>
      <xdr:row>393</xdr:row>
      <xdr:rowOff>146050</xdr:rowOff>
    </xdr:from>
    <xdr:to>
      <xdr:col>5</xdr:col>
      <xdr:colOff>60325</xdr:colOff>
      <xdr:row>408</xdr:row>
      <xdr:rowOff>31750</xdr:rowOff>
    </xdr:to>
    <xdr:graphicFrame macro="">
      <xdr:nvGraphicFramePr>
        <xdr:cNvPr id="4115" name="Chart 4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12700</xdr:colOff>
      <xdr:row>112</xdr:row>
      <xdr:rowOff>82550</xdr:rowOff>
    </xdr:from>
    <xdr:to>
      <xdr:col>5</xdr:col>
      <xdr:colOff>60325</xdr:colOff>
      <xdr:row>126</xdr:row>
      <xdr:rowOff>158750</xdr:rowOff>
    </xdr:to>
    <xdr:graphicFrame macro="">
      <xdr:nvGraphicFramePr>
        <xdr:cNvPr id="4124" name="Chart 4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12700</xdr:colOff>
      <xdr:row>126</xdr:row>
      <xdr:rowOff>95250</xdr:rowOff>
    </xdr:from>
    <xdr:to>
      <xdr:col>5</xdr:col>
      <xdr:colOff>60325</xdr:colOff>
      <xdr:row>140</xdr:row>
      <xdr:rowOff>171450</xdr:rowOff>
    </xdr:to>
    <xdr:graphicFrame macro="">
      <xdr:nvGraphicFramePr>
        <xdr:cNvPr id="4125" name="Chart 4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12700</xdr:colOff>
      <xdr:row>140</xdr:row>
      <xdr:rowOff>107950</xdr:rowOff>
    </xdr:from>
    <xdr:to>
      <xdr:col>5</xdr:col>
      <xdr:colOff>60325</xdr:colOff>
      <xdr:row>154</xdr:row>
      <xdr:rowOff>184150</xdr:rowOff>
    </xdr:to>
    <xdr:graphicFrame macro="">
      <xdr:nvGraphicFramePr>
        <xdr:cNvPr id="4126" name="Chart 4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12700</xdr:colOff>
      <xdr:row>154</xdr:row>
      <xdr:rowOff>120650</xdr:rowOff>
    </xdr:from>
    <xdr:to>
      <xdr:col>5</xdr:col>
      <xdr:colOff>60325</xdr:colOff>
      <xdr:row>169</xdr:row>
      <xdr:rowOff>6350</xdr:rowOff>
    </xdr:to>
    <xdr:graphicFrame macro="">
      <xdr:nvGraphicFramePr>
        <xdr:cNvPr id="4127" name="Chart 4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12700</xdr:colOff>
      <xdr:row>168</xdr:row>
      <xdr:rowOff>133350</xdr:rowOff>
    </xdr:from>
    <xdr:to>
      <xdr:col>5</xdr:col>
      <xdr:colOff>60325</xdr:colOff>
      <xdr:row>183</xdr:row>
      <xdr:rowOff>19050</xdr:rowOff>
    </xdr:to>
    <xdr:graphicFrame macro="">
      <xdr:nvGraphicFramePr>
        <xdr:cNvPr id="4128" name="Chart 4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12700</xdr:colOff>
      <xdr:row>182</xdr:row>
      <xdr:rowOff>146050</xdr:rowOff>
    </xdr:from>
    <xdr:to>
      <xdr:col>5</xdr:col>
      <xdr:colOff>60325</xdr:colOff>
      <xdr:row>197</xdr:row>
      <xdr:rowOff>31750</xdr:rowOff>
    </xdr:to>
    <xdr:graphicFrame macro="">
      <xdr:nvGraphicFramePr>
        <xdr:cNvPr id="4129" name="Chart 4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12700</xdr:colOff>
      <xdr:row>196</xdr:row>
      <xdr:rowOff>158750</xdr:rowOff>
    </xdr:from>
    <xdr:to>
      <xdr:col>5</xdr:col>
      <xdr:colOff>60325</xdr:colOff>
      <xdr:row>211</xdr:row>
      <xdr:rowOff>44450</xdr:rowOff>
    </xdr:to>
    <xdr:graphicFrame macro="">
      <xdr:nvGraphicFramePr>
        <xdr:cNvPr id="4130" name="Chart 4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12700</xdr:colOff>
      <xdr:row>210</xdr:row>
      <xdr:rowOff>171450</xdr:rowOff>
    </xdr:from>
    <xdr:to>
      <xdr:col>5</xdr:col>
      <xdr:colOff>60325</xdr:colOff>
      <xdr:row>225</xdr:row>
      <xdr:rowOff>57150</xdr:rowOff>
    </xdr:to>
    <xdr:graphicFrame macro="">
      <xdr:nvGraphicFramePr>
        <xdr:cNvPr id="4131" name="Chart 4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12700</xdr:colOff>
      <xdr:row>224</xdr:row>
      <xdr:rowOff>184150</xdr:rowOff>
    </xdr:from>
    <xdr:to>
      <xdr:col>5</xdr:col>
      <xdr:colOff>60325</xdr:colOff>
      <xdr:row>239</xdr:row>
      <xdr:rowOff>69850</xdr:rowOff>
    </xdr:to>
    <xdr:graphicFrame macro="">
      <xdr:nvGraphicFramePr>
        <xdr:cNvPr id="4132" name="Chart 4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12700</xdr:colOff>
      <xdr:row>239</xdr:row>
      <xdr:rowOff>6350</xdr:rowOff>
    </xdr:from>
    <xdr:to>
      <xdr:col>5</xdr:col>
      <xdr:colOff>60325</xdr:colOff>
      <xdr:row>253</xdr:row>
      <xdr:rowOff>82550</xdr:rowOff>
    </xdr:to>
    <xdr:graphicFrame macro="">
      <xdr:nvGraphicFramePr>
        <xdr:cNvPr id="4133" name="Chart 4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12700</xdr:colOff>
      <xdr:row>253</xdr:row>
      <xdr:rowOff>19050</xdr:rowOff>
    </xdr:from>
    <xdr:to>
      <xdr:col>5</xdr:col>
      <xdr:colOff>60325</xdr:colOff>
      <xdr:row>267</xdr:row>
      <xdr:rowOff>95250</xdr:rowOff>
    </xdr:to>
    <xdr:graphicFrame macro="">
      <xdr:nvGraphicFramePr>
        <xdr:cNvPr id="4134" name="Chart 4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12700</xdr:colOff>
      <xdr:row>267</xdr:row>
      <xdr:rowOff>31750</xdr:rowOff>
    </xdr:from>
    <xdr:to>
      <xdr:col>5</xdr:col>
      <xdr:colOff>60325</xdr:colOff>
      <xdr:row>281</xdr:row>
      <xdr:rowOff>107950</xdr:rowOff>
    </xdr:to>
    <xdr:graphicFrame macro="">
      <xdr:nvGraphicFramePr>
        <xdr:cNvPr id="4135" name="Chart 4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12700</xdr:colOff>
      <xdr:row>281</xdr:row>
      <xdr:rowOff>44450</xdr:rowOff>
    </xdr:from>
    <xdr:to>
      <xdr:col>5</xdr:col>
      <xdr:colOff>60325</xdr:colOff>
      <xdr:row>295</xdr:row>
      <xdr:rowOff>120650</xdr:rowOff>
    </xdr:to>
    <xdr:graphicFrame macro="">
      <xdr:nvGraphicFramePr>
        <xdr:cNvPr id="4136" name="Chart 4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12700</xdr:colOff>
      <xdr:row>295</xdr:row>
      <xdr:rowOff>57150</xdr:rowOff>
    </xdr:from>
    <xdr:to>
      <xdr:col>5</xdr:col>
      <xdr:colOff>60325</xdr:colOff>
      <xdr:row>309</xdr:row>
      <xdr:rowOff>133350</xdr:rowOff>
    </xdr:to>
    <xdr:graphicFrame macro="">
      <xdr:nvGraphicFramePr>
        <xdr:cNvPr id="4137" name="Chart 4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12700</xdr:colOff>
      <xdr:row>309</xdr:row>
      <xdr:rowOff>69850</xdr:rowOff>
    </xdr:from>
    <xdr:to>
      <xdr:col>5</xdr:col>
      <xdr:colOff>60325</xdr:colOff>
      <xdr:row>323</xdr:row>
      <xdr:rowOff>146050</xdr:rowOff>
    </xdr:to>
    <xdr:graphicFrame macro="">
      <xdr:nvGraphicFramePr>
        <xdr:cNvPr id="4138" name="Chart 4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12700</xdr:colOff>
      <xdr:row>323</xdr:row>
      <xdr:rowOff>82550</xdr:rowOff>
    </xdr:from>
    <xdr:to>
      <xdr:col>5</xdr:col>
      <xdr:colOff>60325</xdr:colOff>
      <xdr:row>337</xdr:row>
      <xdr:rowOff>158750</xdr:rowOff>
    </xdr:to>
    <xdr:graphicFrame macro="">
      <xdr:nvGraphicFramePr>
        <xdr:cNvPr id="4139" name="Chart 4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12700</xdr:colOff>
      <xdr:row>337</xdr:row>
      <xdr:rowOff>95250</xdr:rowOff>
    </xdr:from>
    <xdr:to>
      <xdr:col>5</xdr:col>
      <xdr:colOff>60325</xdr:colOff>
      <xdr:row>351</xdr:row>
      <xdr:rowOff>171450</xdr:rowOff>
    </xdr:to>
    <xdr:graphicFrame macro="">
      <xdr:nvGraphicFramePr>
        <xdr:cNvPr id="4140" name="Chart 4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12700</xdr:colOff>
      <xdr:row>351</xdr:row>
      <xdr:rowOff>107950</xdr:rowOff>
    </xdr:from>
    <xdr:to>
      <xdr:col>5</xdr:col>
      <xdr:colOff>60325</xdr:colOff>
      <xdr:row>365</xdr:row>
      <xdr:rowOff>184150</xdr:rowOff>
    </xdr:to>
    <xdr:graphicFrame macro="">
      <xdr:nvGraphicFramePr>
        <xdr:cNvPr id="4141" name="Chart 4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12700</xdr:colOff>
      <xdr:row>365</xdr:row>
      <xdr:rowOff>120650</xdr:rowOff>
    </xdr:from>
    <xdr:to>
      <xdr:col>5</xdr:col>
      <xdr:colOff>60325</xdr:colOff>
      <xdr:row>380</xdr:row>
      <xdr:rowOff>6350</xdr:rowOff>
    </xdr:to>
    <xdr:graphicFrame macro="">
      <xdr:nvGraphicFramePr>
        <xdr:cNvPr id="4142" name="Chart 4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12700</xdr:colOff>
      <xdr:row>379</xdr:row>
      <xdr:rowOff>133350</xdr:rowOff>
    </xdr:from>
    <xdr:to>
      <xdr:col>5</xdr:col>
      <xdr:colOff>60325</xdr:colOff>
      <xdr:row>394</xdr:row>
      <xdr:rowOff>19050</xdr:rowOff>
    </xdr:to>
    <xdr:graphicFrame macro="">
      <xdr:nvGraphicFramePr>
        <xdr:cNvPr id="4143" name="Chart 4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12700</xdr:colOff>
      <xdr:row>393</xdr:row>
      <xdr:rowOff>146050</xdr:rowOff>
    </xdr:from>
    <xdr:to>
      <xdr:col>5</xdr:col>
      <xdr:colOff>60325</xdr:colOff>
      <xdr:row>408</xdr:row>
      <xdr:rowOff>31750</xdr:rowOff>
    </xdr:to>
    <xdr:graphicFrame macro="">
      <xdr:nvGraphicFramePr>
        <xdr:cNvPr id="4144" name="Chart 4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12700</xdr:colOff>
      <xdr:row>407</xdr:row>
      <xdr:rowOff>158750</xdr:rowOff>
    </xdr:from>
    <xdr:to>
      <xdr:col>5</xdr:col>
      <xdr:colOff>60325</xdr:colOff>
      <xdr:row>422</xdr:row>
      <xdr:rowOff>44450</xdr:rowOff>
    </xdr:to>
    <xdr:graphicFrame macro="">
      <xdr:nvGraphicFramePr>
        <xdr:cNvPr id="4145" name="Chart 4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12700</xdr:colOff>
      <xdr:row>10</xdr:row>
      <xdr:rowOff>180975</xdr:rowOff>
    </xdr:from>
    <xdr:to>
      <xdr:col>5</xdr:col>
      <xdr:colOff>1266825</xdr:colOff>
      <xdr:row>24</xdr:row>
      <xdr:rowOff>107950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workbookViewId="0">
      <selection activeCell="E2" sqref="E2:E5"/>
    </sheetView>
  </sheetViews>
  <sheetFormatPr defaultRowHeight="15" x14ac:dyDescent="0.25"/>
  <cols>
    <col min="1" max="1" width="28" bestFit="1" customWidth="1"/>
    <col min="2" max="2" width="8.42578125" bestFit="1" customWidth="1"/>
    <col min="3" max="3" width="10.5703125" bestFit="1" customWidth="1"/>
    <col min="4" max="4" width="8.7109375" bestFit="1" customWidth="1"/>
    <col min="5" max="5" width="20" bestFit="1" customWidth="1"/>
    <col min="6" max="6" width="10.42578125" bestFit="1" customWidth="1"/>
    <col min="7" max="7" width="12" bestFit="1" customWidth="1"/>
    <col min="8" max="8" width="21.7109375" bestFit="1" customWidth="1"/>
    <col min="9" max="9" width="20.28515625" bestFit="1" customWidth="1"/>
    <col min="10" max="10" width="10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17</v>
      </c>
      <c r="H1" t="s">
        <v>6</v>
      </c>
      <c r="I1" t="s">
        <v>7</v>
      </c>
      <c r="J1" t="s">
        <v>8</v>
      </c>
    </row>
    <row r="2" spans="1:10" x14ac:dyDescent="0.25">
      <c r="A2" t="s">
        <v>9</v>
      </c>
      <c r="B2" t="s">
        <v>10</v>
      </c>
      <c r="C2" s="1">
        <v>44009</v>
      </c>
      <c r="D2">
        <v>100</v>
      </c>
      <c r="E2">
        <v>1397.4965400000001</v>
      </c>
      <c r="F2">
        <f>E2*D2</f>
        <v>139749.65400000001</v>
      </c>
      <c r="G2" s="1">
        <v>44039</v>
      </c>
      <c r="H2">
        <v>1210.3911599999999</v>
      </c>
    </row>
    <row r="3" spans="1:10" x14ac:dyDescent="0.25">
      <c r="A3" t="s">
        <v>11</v>
      </c>
      <c r="B3" t="s">
        <v>12</v>
      </c>
      <c r="C3" s="1">
        <v>44009</v>
      </c>
      <c r="D3">
        <v>50</v>
      </c>
      <c r="E3">
        <v>364.11487</v>
      </c>
      <c r="F3">
        <f>D3*E3</f>
        <v>18205.7435</v>
      </c>
      <c r="G3" s="1">
        <v>44039</v>
      </c>
      <c r="H3">
        <v>201.54497000000001</v>
      </c>
    </row>
    <row r="4" spans="1:10" x14ac:dyDescent="0.25">
      <c r="A4" t="s">
        <v>13</v>
      </c>
      <c r="B4" t="s">
        <v>14</v>
      </c>
      <c r="C4" s="1">
        <v>44009</v>
      </c>
      <c r="D4">
        <v>60</v>
      </c>
      <c r="E4">
        <v>201.54497000000001</v>
      </c>
      <c r="F4">
        <f t="shared" ref="F4:F5" si="0">D4*E4</f>
        <v>12092.698200000001</v>
      </c>
      <c r="G4" s="1">
        <v>44039</v>
      </c>
      <c r="H4">
        <v>364.11487</v>
      </c>
    </row>
    <row r="5" spans="1:10" x14ac:dyDescent="0.25">
      <c r="A5" t="s">
        <v>15</v>
      </c>
      <c r="B5" t="s">
        <v>16</v>
      </c>
      <c r="C5" s="1">
        <v>44009</v>
      </c>
      <c r="D5">
        <v>100</v>
      </c>
      <c r="E5">
        <v>1210.3911599999999</v>
      </c>
      <c r="F5">
        <f t="shared" si="0"/>
        <v>121039.11599999999</v>
      </c>
      <c r="G5" s="1">
        <v>44039</v>
      </c>
      <c r="H5">
        <v>1397.4965400000001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9"/>
  <sheetViews>
    <sheetView tabSelected="1" workbookViewId="0">
      <selection activeCell="F34" sqref="F34"/>
    </sheetView>
  </sheetViews>
  <sheetFormatPr defaultRowHeight="15" x14ac:dyDescent="0.25"/>
  <cols>
    <col min="2" max="2" width="28.42578125" bestFit="1" customWidth="1"/>
    <col min="3" max="3" width="12" bestFit="1" customWidth="1"/>
    <col min="6" max="6" width="20.85546875" bestFit="1" customWidth="1"/>
    <col min="7" max="7" width="15.85546875" bestFit="1" customWidth="1"/>
    <col min="8" max="8" width="12.7109375" customWidth="1"/>
  </cols>
  <sheetData>
    <row r="1" spans="1:8" s="5" customFormat="1" ht="15.75" thickBot="1" x14ac:dyDescent="0.3">
      <c r="A1" s="7"/>
      <c r="B1" s="7"/>
      <c r="C1" s="7"/>
      <c r="D1" s="7"/>
      <c r="E1" s="7"/>
      <c r="F1" s="7"/>
      <c r="G1" s="7"/>
      <c r="H1" s="7"/>
    </row>
    <row r="2" spans="1:8" s="5" customFormat="1" ht="15.75" thickBot="1" x14ac:dyDescent="0.3">
      <c r="A2" s="7"/>
      <c r="B2" s="10" t="s">
        <v>56</v>
      </c>
      <c r="C2" s="9">
        <v>793603.75667156884</v>
      </c>
      <c r="D2" s="7"/>
      <c r="E2" s="7"/>
      <c r="F2" s="10" t="s">
        <v>57</v>
      </c>
      <c r="G2" s="11" t="str">
        <f>Current_Position!C7</f>
        <v>28/07/2020</v>
      </c>
      <c r="H2" s="7"/>
    </row>
    <row r="3" spans="1:8" s="5" customFormat="1" ht="15.75" thickBot="1" x14ac:dyDescent="0.3">
      <c r="A3" s="7"/>
      <c r="B3" s="10" t="s">
        <v>55</v>
      </c>
      <c r="C3" s="12">
        <v>-7.9953041605389449E-3</v>
      </c>
      <c r="D3" s="7"/>
      <c r="E3" s="7"/>
      <c r="F3" s="10" t="s">
        <v>60</v>
      </c>
      <c r="G3" s="13">
        <f ca="1">TODAY()</f>
        <v>44041</v>
      </c>
      <c r="H3" s="7"/>
    </row>
    <row r="4" spans="1:8" ht="15.75" thickBot="1" x14ac:dyDescent="0.3">
      <c r="A4" s="7"/>
      <c r="B4" s="7"/>
      <c r="C4" s="7"/>
      <c r="D4" s="7"/>
      <c r="E4" s="7"/>
      <c r="F4" s="7"/>
      <c r="G4" s="7"/>
      <c r="H4" s="7"/>
    </row>
    <row r="5" spans="1:8" ht="15.75" thickBot="1" x14ac:dyDescent="0.3">
      <c r="A5" s="17" t="s">
        <v>25</v>
      </c>
      <c r="B5" s="18"/>
      <c r="C5" s="18"/>
      <c r="D5" s="18"/>
      <c r="E5" s="18"/>
      <c r="F5" s="18"/>
      <c r="G5" s="17" t="s">
        <v>27</v>
      </c>
      <c r="H5" s="17"/>
    </row>
    <row r="6" spans="1:8" ht="15.75" thickBot="1" x14ac:dyDescent="0.3">
      <c r="A6" s="19" t="s">
        <v>62</v>
      </c>
      <c r="B6" s="19"/>
      <c r="C6" s="7"/>
      <c r="D6" s="7"/>
      <c r="E6" s="19" t="s">
        <v>63</v>
      </c>
      <c r="F6" s="20"/>
      <c r="G6" s="9" t="s">
        <v>30</v>
      </c>
      <c r="H6" s="9">
        <v>558</v>
      </c>
    </row>
    <row r="7" spans="1:8" ht="15.75" thickBot="1" x14ac:dyDescent="0.3">
      <c r="A7" s="10" t="s">
        <v>36</v>
      </c>
      <c r="B7" s="14">
        <v>1.7630840963757037E-3</v>
      </c>
      <c r="C7" s="7"/>
      <c r="D7" s="7"/>
      <c r="E7" s="10" t="s">
        <v>32</v>
      </c>
      <c r="F7" s="15">
        <v>0.12580032934514748</v>
      </c>
      <c r="G7" s="9" t="s">
        <v>31</v>
      </c>
      <c r="H7" s="9">
        <v>562</v>
      </c>
    </row>
    <row r="8" spans="1:8" ht="15.75" thickBot="1" x14ac:dyDescent="0.3">
      <c r="A8" s="10" t="s">
        <v>31</v>
      </c>
      <c r="B8" s="14">
        <v>2.6581075221432972E-3</v>
      </c>
      <c r="C8" s="7"/>
      <c r="D8" s="7"/>
      <c r="E8" s="10" t="s">
        <v>35</v>
      </c>
      <c r="F8" s="15">
        <v>5.1641813362860729E-2</v>
      </c>
      <c r="G8" s="9" t="s">
        <v>32</v>
      </c>
      <c r="H8" s="9">
        <v>555</v>
      </c>
    </row>
    <row r="9" spans="1:8" ht="15.75" thickBot="1" x14ac:dyDescent="0.3">
      <c r="A9" s="10" t="s">
        <v>40</v>
      </c>
      <c r="B9" s="14">
        <v>5.5844611069843534E-3</v>
      </c>
      <c r="C9" s="7"/>
      <c r="D9" s="7"/>
      <c r="E9" s="10" t="s">
        <v>37</v>
      </c>
      <c r="F9" s="15">
        <v>2.0239084078932771E-2</v>
      </c>
      <c r="G9" s="9" t="s">
        <v>33</v>
      </c>
      <c r="H9" s="9">
        <v>570</v>
      </c>
    </row>
    <row r="10" spans="1:8" ht="15.75" thickBot="1" x14ac:dyDescent="0.3">
      <c r="A10" s="10" t="s">
        <v>38</v>
      </c>
      <c r="B10" s="14">
        <v>7.116233244756554E-3</v>
      </c>
      <c r="C10" s="7"/>
      <c r="D10" s="7"/>
      <c r="E10" s="10" t="s">
        <v>33</v>
      </c>
      <c r="F10" s="15">
        <v>1.1848980774416531E-2</v>
      </c>
      <c r="G10" s="9" t="s">
        <v>34</v>
      </c>
      <c r="H10" s="9">
        <v>573</v>
      </c>
    </row>
    <row r="11" spans="1:8" ht="15.75" thickBot="1" x14ac:dyDescent="0.3">
      <c r="A11" s="7"/>
      <c r="B11" s="16" t="s">
        <v>26</v>
      </c>
      <c r="C11" s="16"/>
      <c r="D11" s="16"/>
      <c r="E11" s="16"/>
      <c r="F11" s="7"/>
      <c r="G11" s="9" t="s">
        <v>35</v>
      </c>
      <c r="H11" s="9">
        <v>572</v>
      </c>
    </row>
    <row r="12" spans="1:8" ht="15.75" thickBot="1" x14ac:dyDescent="0.3">
      <c r="A12" s="7"/>
      <c r="B12" s="7"/>
      <c r="C12" s="7"/>
      <c r="D12" s="7"/>
      <c r="E12" s="7"/>
      <c r="F12" s="7"/>
      <c r="G12" s="9" t="s">
        <v>36</v>
      </c>
      <c r="H12" s="9">
        <v>516</v>
      </c>
    </row>
    <row r="13" spans="1:8" ht="15.75" thickBot="1" x14ac:dyDescent="0.3">
      <c r="A13" s="7"/>
      <c r="B13" s="7"/>
      <c r="C13" s="7"/>
      <c r="D13" s="7"/>
      <c r="E13" s="7"/>
      <c r="F13" s="7"/>
      <c r="G13" s="9" t="s">
        <v>37</v>
      </c>
      <c r="H13" s="9">
        <v>528</v>
      </c>
    </row>
    <row r="14" spans="1:8" ht="15.75" thickBot="1" x14ac:dyDescent="0.3">
      <c r="A14" s="7"/>
      <c r="B14" s="7"/>
      <c r="C14" s="7"/>
      <c r="D14" s="7"/>
      <c r="E14" s="7"/>
      <c r="F14" s="7"/>
      <c r="G14" s="9" t="s">
        <v>38</v>
      </c>
      <c r="H14" s="9">
        <v>506</v>
      </c>
    </row>
    <row r="15" spans="1:8" ht="15.75" thickBot="1" x14ac:dyDescent="0.3">
      <c r="A15" s="7"/>
      <c r="B15" s="7"/>
      <c r="C15" s="7"/>
      <c r="D15" s="7"/>
      <c r="E15" s="7"/>
      <c r="F15" s="7"/>
      <c r="G15" s="9" t="s">
        <v>39</v>
      </c>
      <c r="H15" s="9">
        <v>559</v>
      </c>
    </row>
    <row r="16" spans="1:8" ht="15.75" thickBot="1" x14ac:dyDescent="0.3">
      <c r="A16" s="7"/>
      <c r="B16" s="7"/>
      <c r="C16" s="7"/>
      <c r="D16" s="7"/>
      <c r="E16" s="7"/>
      <c r="F16" s="7"/>
      <c r="G16" s="9" t="s">
        <v>40</v>
      </c>
      <c r="H16" s="9">
        <v>548</v>
      </c>
    </row>
    <row r="17" spans="1:8" ht="15.75" thickBot="1" x14ac:dyDescent="0.3">
      <c r="A17" s="7"/>
      <c r="B17" s="7"/>
      <c r="C17" s="7"/>
      <c r="D17" s="7"/>
      <c r="E17" s="7"/>
      <c r="F17" s="7"/>
      <c r="G17" s="9" t="s">
        <v>41</v>
      </c>
      <c r="H17" s="9">
        <v>75</v>
      </c>
    </row>
    <row r="18" spans="1:8" ht="15.75" thickBot="1" x14ac:dyDescent="0.3">
      <c r="A18" s="7"/>
      <c r="B18" s="7"/>
      <c r="C18" s="7"/>
      <c r="D18" s="7"/>
      <c r="E18" s="7"/>
      <c r="F18" s="7"/>
      <c r="G18" s="9" t="s">
        <v>42</v>
      </c>
      <c r="H18" s="9">
        <v>6</v>
      </c>
    </row>
    <row r="19" spans="1:8" x14ac:dyDescent="0.25">
      <c r="G19" s="8"/>
      <c r="H19" s="8"/>
    </row>
  </sheetData>
  <mergeCells count="5">
    <mergeCell ref="B11:E11"/>
    <mergeCell ref="G5:H5"/>
    <mergeCell ref="A5:F5"/>
    <mergeCell ref="A6:B6"/>
    <mergeCell ref="E6:F6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shboard">
                <anchor moveWithCells="1" sizeWithCells="1">
                  <from>
                    <xdr:col>1</xdr:col>
                    <xdr:colOff>9525</xdr:colOff>
                    <xdr:row>26</xdr:row>
                    <xdr:rowOff>9525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0"/>
  <sheetViews>
    <sheetView workbookViewId="0">
      <selection activeCell="A31" sqref="A31:B31"/>
    </sheetView>
  </sheetViews>
  <sheetFormatPr defaultRowHeight="15" x14ac:dyDescent="0.25"/>
  <cols>
    <col min="1" max="1" width="10.7109375" bestFit="1" customWidth="1"/>
    <col min="2" max="2" width="21.28515625" customWidth="1"/>
  </cols>
  <sheetData>
    <row r="1" spans="1:2" x14ac:dyDescent="0.25">
      <c r="A1" t="s">
        <v>18</v>
      </c>
      <c r="B1" t="s">
        <v>26</v>
      </c>
    </row>
    <row r="2" spans="1:2" x14ac:dyDescent="0.25">
      <c r="A2" s="1">
        <v>44013</v>
      </c>
      <c r="B2" s="5">
        <v>800000.55538744119</v>
      </c>
    </row>
    <row r="3" spans="1:2" x14ac:dyDescent="0.25">
      <c r="A3" s="1">
        <v>44014</v>
      </c>
      <c r="B3" s="5">
        <v>800000.55538744119</v>
      </c>
    </row>
    <row r="4" spans="1:2" x14ac:dyDescent="0.25">
      <c r="A4" s="1">
        <v>44015</v>
      </c>
      <c r="B4" s="5">
        <v>800033.67707008927</v>
      </c>
    </row>
    <row r="5" spans="1:2" x14ac:dyDescent="0.25">
      <c r="A5" s="1">
        <v>44016</v>
      </c>
      <c r="B5" s="5">
        <v>800014.20467392751</v>
      </c>
    </row>
    <row r="6" spans="1:2" x14ac:dyDescent="0.25">
      <c r="A6" s="1">
        <v>44017</v>
      </c>
      <c r="B6" s="5">
        <v>800007.54265237891</v>
      </c>
    </row>
    <row r="7" spans="1:2" x14ac:dyDescent="0.25">
      <c r="A7" s="1">
        <v>44018</v>
      </c>
      <c r="B7" s="5">
        <v>800091.88136063959</v>
      </c>
    </row>
    <row r="8" spans="1:2" x14ac:dyDescent="0.25">
      <c r="A8" s="1">
        <v>44019</v>
      </c>
      <c r="B8" s="5">
        <v>800029.46588548622</v>
      </c>
    </row>
    <row r="9" spans="1:2" x14ac:dyDescent="0.25">
      <c r="A9" s="1">
        <v>44020</v>
      </c>
      <c r="B9" s="5">
        <v>800045.69376250519</v>
      </c>
    </row>
    <row r="10" spans="1:2" x14ac:dyDescent="0.25">
      <c r="A10" s="1">
        <v>44021</v>
      </c>
      <c r="B10" s="5">
        <v>800043.34129579854</v>
      </c>
    </row>
    <row r="11" spans="1:2" x14ac:dyDescent="0.25">
      <c r="A11" s="1">
        <v>44022</v>
      </c>
      <c r="B11" s="5">
        <v>800050.89516742271</v>
      </c>
    </row>
    <row r="12" spans="1:2" x14ac:dyDescent="0.25">
      <c r="A12" s="1">
        <v>44023</v>
      </c>
      <c r="B12" s="5">
        <v>800038.2076928413</v>
      </c>
    </row>
    <row r="13" spans="1:2" x14ac:dyDescent="0.25">
      <c r="A13" s="1">
        <v>44024</v>
      </c>
      <c r="B13" s="5">
        <v>800005.31198967935</v>
      </c>
    </row>
    <row r="14" spans="1:2" x14ac:dyDescent="0.25">
      <c r="A14" s="1">
        <v>44025</v>
      </c>
      <c r="B14" s="5">
        <v>800071.01864681172</v>
      </c>
    </row>
    <row r="15" spans="1:2" x14ac:dyDescent="0.25">
      <c r="A15" s="1">
        <v>44026</v>
      </c>
      <c r="B15" s="5">
        <v>800081.55743662233</v>
      </c>
    </row>
    <row r="16" spans="1:2" x14ac:dyDescent="0.25">
      <c r="A16" s="1">
        <v>44027</v>
      </c>
      <c r="B16" s="5">
        <v>800024.97087999596</v>
      </c>
    </row>
    <row r="17" spans="1:2" x14ac:dyDescent="0.25">
      <c r="A17" s="1">
        <v>44028</v>
      </c>
      <c r="B17" s="5">
        <v>800073.68256606325</v>
      </c>
    </row>
    <row r="18" spans="1:2" x14ac:dyDescent="0.25">
      <c r="A18" s="1">
        <v>44029</v>
      </c>
      <c r="B18" s="5">
        <v>800036.39744636999</v>
      </c>
    </row>
    <row r="19" spans="1:2" x14ac:dyDescent="0.25">
      <c r="A19" s="1">
        <v>44030</v>
      </c>
      <c r="B19" s="5">
        <v>800053.03498878423</v>
      </c>
    </row>
    <row r="20" spans="1:2" x14ac:dyDescent="0.25">
      <c r="A20" s="1">
        <v>44031</v>
      </c>
      <c r="B20" s="5">
        <v>800039.41458538489</v>
      </c>
    </row>
    <row r="21" spans="1:2" x14ac:dyDescent="0.25">
      <c r="A21" s="1">
        <v>44032</v>
      </c>
      <c r="B21" s="5">
        <v>800032.43370827031</v>
      </c>
    </row>
    <row r="22" spans="1:2" x14ac:dyDescent="0.25">
      <c r="A22" s="1">
        <v>44033</v>
      </c>
      <c r="B22" s="5">
        <v>800091.53162448551</v>
      </c>
    </row>
    <row r="23" spans="1:2" x14ac:dyDescent="0.25">
      <c r="A23" s="1">
        <v>44034</v>
      </c>
      <c r="B23" s="5">
        <v>800014.76876875502</v>
      </c>
    </row>
    <row r="24" spans="1:2" x14ac:dyDescent="0.25">
      <c r="A24" s="1">
        <v>44035</v>
      </c>
      <c r="B24" s="5">
        <v>800070.60252994741</v>
      </c>
    </row>
    <row r="25" spans="1:2" x14ac:dyDescent="0.25">
      <c r="A25" s="1">
        <v>44036</v>
      </c>
      <c r="B25" s="5">
        <v>800077.48325859476</v>
      </c>
    </row>
    <row r="26" spans="1:2" x14ac:dyDescent="0.25">
      <c r="A26" s="1">
        <v>44037</v>
      </c>
      <c r="B26" s="5">
        <v>800010.5831677299</v>
      </c>
    </row>
    <row r="27" spans="1:2" x14ac:dyDescent="0.25">
      <c r="A27" s="1">
        <v>44038</v>
      </c>
      <c r="B27" s="5">
        <v>800074.73894794378</v>
      </c>
    </row>
    <row r="28" spans="1:2" x14ac:dyDescent="0.25">
      <c r="A28" s="1">
        <v>44039</v>
      </c>
      <c r="B28" s="5">
        <v>800045.39679654886</v>
      </c>
    </row>
    <row r="29" spans="1:2" x14ac:dyDescent="0.25">
      <c r="A29" s="1">
        <v>44040</v>
      </c>
      <c r="B29" s="5">
        <v>800013.36418388039</v>
      </c>
    </row>
    <row r="30" spans="1:2" x14ac:dyDescent="0.25">
      <c r="A30" t="s">
        <v>61</v>
      </c>
      <c r="B30">
        <v>793603.75667156884</v>
      </c>
    </row>
    <row r="31" spans="1:2" x14ac:dyDescent="0.25">
      <c r="A31" t="s">
        <v>61</v>
      </c>
      <c r="B31">
        <v>793603.75667156884</v>
      </c>
    </row>
    <row r="32" spans="1:2" x14ac:dyDescent="0.25">
      <c r="A32" t="s">
        <v>61</v>
      </c>
      <c r="B32">
        <v>793603.75667156884</v>
      </c>
    </row>
    <row r="33" spans="1:2" x14ac:dyDescent="0.25">
      <c r="A33" t="s">
        <v>61</v>
      </c>
      <c r="B33">
        <v>793603.75667156884</v>
      </c>
    </row>
    <row r="34" spans="1:2" x14ac:dyDescent="0.25">
      <c r="A34" t="s">
        <v>61</v>
      </c>
      <c r="B34">
        <v>793603.75667156884</v>
      </c>
    </row>
    <row r="35" spans="1:2" x14ac:dyDescent="0.25">
      <c r="A35" t="s">
        <v>61</v>
      </c>
      <c r="B35">
        <v>793603.75667156884</v>
      </c>
    </row>
    <row r="36" spans="1:2" x14ac:dyDescent="0.25">
      <c r="A36" t="s">
        <v>61</v>
      </c>
      <c r="B36">
        <v>793603.75667156884</v>
      </c>
    </row>
    <row r="37" spans="1:2" x14ac:dyDescent="0.25">
      <c r="A37" t="s">
        <v>61</v>
      </c>
      <c r="B37">
        <v>793603.75667156884</v>
      </c>
    </row>
    <row r="38" spans="1:2" x14ac:dyDescent="0.25">
      <c r="A38" t="s">
        <v>61</v>
      </c>
      <c r="B38">
        <v>793603.75667156884</v>
      </c>
    </row>
    <row r="39" spans="1:2" x14ac:dyDescent="0.25">
      <c r="A39" t="s">
        <v>61</v>
      </c>
      <c r="B39">
        <v>793603.75667156884</v>
      </c>
    </row>
    <row r="40" spans="1:2" x14ac:dyDescent="0.25">
      <c r="A40" t="s">
        <v>61</v>
      </c>
      <c r="B40">
        <v>793603.75667156884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0"/>
  <sheetViews>
    <sheetView workbookViewId="0">
      <selection activeCell="C7" sqref="C7"/>
    </sheetView>
  </sheetViews>
  <sheetFormatPr defaultRowHeight="15" x14ac:dyDescent="0.25"/>
  <cols>
    <col min="1" max="1" width="18.85546875" bestFit="1" customWidth="1"/>
    <col min="2" max="2" width="20.140625" bestFit="1" customWidth="1"/>
    <col min="3" max="3" width="28.85546875" bestFit="1" customWidth="1"/>
    <col min="4" max="4" width="17.85546875" style="5" bestFit="1" customWidth="1"/>
    <col min="5" max="5" width="21.140625" style="5" customWidth="1"/>
    <col min="6" max="6" width="21" bestFit="1" customWidth="1"/>
    <col min="7" max="8" width="17.7109375" bestFit="1" customWidth="1"/>
    <col min="9" max="9" width="20.85546875" bestFit="1" customWidth="1"/>
  </cols>
  <sheetData>
    <row r="1" spans="1:10" x14ac:dyDescent="0.25">
      <c r="A1" t="s">
        <v>18</v>
      </c>
      <c r="B1" t="s">
        <v>28</v>
      </c>
      <c r="C1" t="s">
        <v>24</v>
      </c>
    </row>
    <row r="2" spans="1:10" x14ac:dyDescent="0.25">
      <c r="B2" t="s">
        <v>23</v>
      </c>
      <c r="C2" s="3">
        <v>500000</v>
      </c>
      <c r="D2" s="3"/>
      <c r="E2" s="3"/>
    </row>
    <row r="3" spans="1:10" x14ac:dyDescent="0.25">
      <c r="A3" s="5" t="s">
        <v>44</v>
      </c>
      <c r="B3" s="5" t="s">
        <v>46</v>
      </c>
      <c r="C3" s="5">
        <v>-3214.8745596624121</v>
      </c>
      <c r="F3" s="5"/>
      <c r="G3" s="5"/>
    </row>
    <row r="4" spans="1:10" x14ac:dyDescent="0.25">
      <c r="A4" t="s">
        <v>44</v>
      </c>
      <c r="B4" t="s">
        <v>47</v>
      </c>
      <c r="C4">
        <v>496785.12544033758</v>
      </c>
    </row>
    <row r="5" spans="1:10" x14ac:dyDescent="0.25">
      <c r="I5" s="6"/>
      <c r="J5" s="6"/>
    </row>
    <row r="6" spans="1:10" x14ac:dyDescent="0.25">
      <c r="A6" t="s">
        <v>18</v>
      </c>
      <c r="B6" t="s">
        <v>19</v>
      </c>
      <c r="C6" s="5" t="s">
        <v>58</v>
      </c>
      <c r="D6" t="s">
        <v>49</v>
      </c>
      <c r="E6" s="5" t="s">
        <v>59</v>
      </c>
      <c r="F6" t="s">
        <v>54</v>
      </c>
      <c r="G6" t="s">
        <v>50</v>
      </c>
      <c r="H6" t="s">
        <v>51</v>
      </c>
      <c r="I6" t="s">
        <v>52</v>
      </c>
    </row>
    <row r="7" spans="1:10" x14ac:dyDescent="0.25">
      <c r="A7" s="2" t="s">
        <v>44</v>
      </c>
      <c r="B7" s="4" t="s">
        <v>30</v>
      </c>
      <c r="C7" s="2" t="s">
        <v>44</v>
      </c>
      <c r="D7">
        <v>500</v>
      </c>
      <c r="E7" s="5">
        <v>84.66949717287342</v>
      </c>
      <c r="F7">
        <v>58</v>
      </c>
      <c r="G7">
        <v>558</v>
      </c>
      <c r="H7">
        <v>85.597225735707966</v>
      </c>
      <c r="I7">
        <v>47763.251960525042</v>
      </c>
    </row>
    <row r="8" spans="1:10" x14ac:dyDescent="0.25">
      <c r="A8" s="2" t="s">
        <v>44</v>
      </c>
      <c r="B8" s="4" t="s">
        <v>31</v>
      </c>
      <c r="C8" s="2" t="s">
        <v>44</v>
      </c>
      <c r="D8" s="4">
        <v>500</v>
      </c>
      <c r="E8" s="5">
        <v>85.533613364155016</v>
      </c>
      <c r="F8">
        <v>62</v>
      </c>
      <c r="G8">
        <v>562</v>
      </c>
      <c r="H8">
        <v>85.760970905234373</v>
      </c>
      <c r="I8">
        <v>48197.66564874172</v>
      </c>
    </row>
    <row r="9" spans="1:10" x14ac:dyDescent="0.25">
      <c r="A9" s="2" t="s">
        <v>44</v>
      </c>
      <c r="B9" s="4" t="s">
        <v>32</v>
      </c>
      <c r="C9" s="2" t="s">
        <v>44</v>
      </c>
      <c r="D9" s="4">
        <v>500</v>
      </c>
      <c r="E9" s="5">
        <v>1.7593478962781219</v>
      </c>
      <c r="F9">
        <v>55</v>
      </c>
      <c r="G9">
        <v>555</v>
      </c>
      <c r="H9">
        <v>1.980674441062602</v>
      </c>
      <c r="I9">
        <v>1099.274314789744</v>
      </c>
    </row>
    <row r="10" spans="1:10" x14ac:dyDescent="0.25">
      <c r="A10" s="2" t="s">
        <v>44</v>
      </c>
      <c r="B10" s="4" t="s">
        <v>33</v>
      </c>
      <c r="C10" s="2" t="s">
        <v>44</v>
      </c>
      <c r="D10" s="4">
        <v>500</v>
      </c>
      <c r="E10" s="5">
        <v>79.409450118054963</v>
      </c>
      <c r="F10">
        <v>70</v>
      </c>
      <c r="G10">
        <v>570</v>
      </c>
      <c r="H10">
        <v>80.350371165810785</v>
      </c>
      <c r="I10">
        <v>45799.711564512145</v>
      </c>
    </row>
    <row r="11" spans="1:10" x14ac:dyDescent="0.25">
      <c r="A11" s="2" t="s">
        <v>44</v>
      </c>
      <c r="B11" s="4" t="s">
        <v>34</v>
      </c>
      <c r="C11" s="2" t="s">
        <v>44</v>
      </c>
      <c r="D11" s="4">
        <v>500</v>
      </c>
      <c r="E11" s="5">
        <v>72.037765155005289</v>
      </c>
      <c r="F11">
        <v>73</v>
      </c>
      <c r="G11">
        <v>573</v>
      </c>
      <c r="H11">
        <v>72.69968569499116</v>
      </c>
      <c r="I11">
        <v>41656.919903229937</v>
      </c>
    </row>
    <row r="12" spans="1:10" x14ac:dyDescent="0.25">
      <c r="A12" s="2" t="s">
        <v>44</v>
      </c>
      <c r="B12" s="4" t="s">
        <v>35</v>
      </c>
      <c r="C12" s="2" t="s">
        <v>44</v>
      </c>
      <c r="D12" s="4">
        <v>500</v>
      </c>
      <c r="E12" s="5">
        <v>2.1892852654421446</v>
      </c>
      <c r="F12">
        <v>72</v>
      </c>
      <c r="G12">
        <v>572</v>
      </c>
      <c r="H12">
        <v>2.3023439265181689</v>
      </c>
      <c r="I12">
        <v>1316.9407259683926</v>
      </c>
    </row>
    <row r="13" spans="1:10" x14ac:dyDescent="0.25">
      <c r="A13" s="2" t="s">
        <v>44</v>
      </c>
      <c r="B13" s="4" t="s">
        <v>36</v>
      </c>
      <c r="C13" s="2" t="s">
        <v>44</v>
      </c>
      <c r="D13" s="4">
        <v>500</v>
      </c>
      <c r="E13" s="5">
        <v>55.463282736031061</v>
      </c>
      <c r="F13">
        <v>16</v>
      </c>
      <c r="G13">
        <v>516</v>
      </c>
      <c r="H13">
        <v>55.561069167755747</v>
      </c>
      <c r="I13">
        <v>28669.511690561965</v>
      </c>
    </row>
    <row r="14" spans="1:10" x14ac:dyDescent="0.25">
      <c r="A14" s="2" t="s">
        <v>44</v>
      </c>
      <c r="B14" s="4" t="s">
        <v>37</v>
      </c>
      <c r="C14" s="2" t="s">
        <v>44</v>
      </c>
      <c r="D14" s="4">
        <v>500</v>
      </c>
      <c r="E14" s="5">
        <v>21.64120070213583</v>
      </c>
      <c r="F14">
        <v>28</v>
      </c>
      <c r="G14">
        <v>528</v>
      </c>
      <c r="H14">
        <v>22.079198782715416</v>
      </c>
      <c r="I14">
        <v>11657.816957273739</v>
      </c>
    </row>
    <row r="15" spans="1:10" x14ac:dyDescent="0.25">
      <c r="A15" s="2" t="s">
        <v>44</v>
      </c>
      <c r="B15" s="4" t="s">
        <v>38</v>
      </c>
      <c r="C15" s="2" t="s">
        <v>44</v>
      </c>
      <c r="D15" s="4">
        <v>500</v>
      </c>
      <c r="E15" s="5">
        <v>57.972444606683815</v>
      </c>
      <c r="F15">
        <v>6</v>
      </c>
      <c r="G15">
        <v>506</v>
      </c>
      <c r="H15">
        <v>58.384990044273707</v>
      </c>
      <c r="I15">
        <v>29542.804962402497</v>
      </c>
    </row>
    <row r="16" spans="1:10" x14ac:dyDescent="0.25">
      <c r="A16" s="2" t="s">
        <v>44</v>
      </c>
      <c r="B16" s="4" t="s">
        <v>39</v>
      </c>
      <c r="C16" s="2" t="s">
        <v>44</v>
      </c>
      <c r="D16" s="4">
        <v>500</v>
      </c>
      <c r="E16" s="5">
        <v>9.0185682422936289</v>
      </c>
      <c r="F16">
        <v>59</v>
      </c>
      <c r="G16">
        <v>559</v>
      </c>
      <c r="H16">
        <v>9.0978226032286109</v>
      </c>
      <c r="I16">
        <v>5085.6828352047933</v>
      </c>
    </row>
    <row r="17" spans="1:9" x14ac:dyDescent="0.25">
      <c r="A17" s="2" t="s">
        <v>44</v>
      </c>
      <c r="B17" s="4" t="s">
        <v>40</v>
      </c>
      <c r="C17" s="2" t="s">
        <v>44</v>
      </c>
      <c r="D17" s="4">
        <v>500</v>
      </c>
      <c r="E17" s="5">
        <v>61.530194768061634</v>
      </c>
      <c r="F17">
        <v>48</v>
      </c>
      <c r="G17">
        <v>548</v>
      </c>
      <c r="H17">
        <v>61.873807747649046</v>
      </c>
      <c r="I17">
        <v>33906.846645711674</v>
      </c>
    </row>
    <row r="18" spans="1:9" x14ac:dyDescent="0.25">
      <c r="A18" t="s">
        <v>44</v>
      </c>
      <c r="B18" t="s">
        <v>41</v>
      </c>
      <c r="C18" s="5"/>
      <c r="F18">
        <v>75</v>
      </c>
      <c r="G18">
        <v>75</v>
      </c>
      <c r="H18">
        <v>24.721080831260977</v>
      </c>
      <c r="I18">
        <v>1854.0810623445732</v>
      </c>
    </row>
    <row r="19" spans="1:9" x14ac:dyDescent="0.25">
      <c r="A19" t="s">
        <v>44</v>
      </c>
      <c r="B19" t="s">
        <v>42</v>
      </c>
      <c r="C19" s="5"/>
      <c r="F19">
        <v>6</v>
      </c>
      <c r="G19">
        <v>6</v>
      </c>
      <c r="H19">
        <v>44.687159994176319</v>
      </c>
      <c r="I19">
        <v>268.12295996505793</v>
      </c>
    </row>
    <row r="20" spans="1:9" x14ac:dyDescent="0.25">
      <c r="A20" s="21" t="s">
        <v>53</v>
      </c>
      <c r="B20" s="21"/>
      <c r="C20" s="21"/>
      <c r="D20" s="21"/>
      <c r="E20" s="21"/>
      <c r="F20" s="21"/>
      <c r="G20" s="21"/>
      <c r="H20" s="21"/>
      <c r="I20">
        <v>296818.63123123132</v>
      </c>
    </row>
  </sheetData>
  <mergeCells count="1">
    <mergeCell ref="A20:H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6"/>
  <sheetViews>
    <sheetView workbookViewId="0">
      <selection activeCell="D29" sqref="D29"/>
    </sheetView>
  </sheetViews>
  <sheetFormatPr defaultRowHeight="15" x14ac:dyDescent="0.25"/>
  <sheetData>
    <row r="1" spans="1:6" x14ac:dyDescent="0.25">
      <c r="A1" t="s">
        <v>18</v>
      </c>
      <c r="B1" t="s">
        <v>19</v>
      </c>
      <c r="C1" t="s">
        <v>29</v>
      </c>
      <c r="D1" t="s">
        <v>20</v>
      </c>
      <c r="E1" t="s">
        <v>3</v>
      </c>
      <c r="F1" t="s">
        <v>45</v>
      </c>
    </row>
    <row r="2" spans="1:6" x14ac:dyDescent="0.25">
      <c r="A2" t="s">
        <v>44</v>
      </c>
      <c r="B2" t="s">
        <v>30</v>
      </c>
      <c r="C2">
        <v>85.597225735707966</v>
      </c>
      <c r="D2" t="s">
        <v>21</v>
      </c>
      <c r="E2">
        <v>58</v>
      </c>
      <c r="F2">
        <v>-4964.6390926710619</v>
      </c>
    </row>
    <row r="3" spans="1:6" x14ac:dyDescent="0.25">
      <c r="A3" t="s">
        <v>44</v>
      </c>
      <c r="B3" t="s">
        <v>31</v>
      </c>
      <c r="C3">
        <v>85.760970905234373</v>
      </c>
      <c r="D3" t="s">
        <v>22</v>
      </c>
      <c r="E3">
        <v>62</v>
      </c>
      <c r="F3">
        <v>5317.180196124531</v>
      </c>
    </row>
    <row r="4" spans="1:6" x14ac:dyDescent="0.25">
      <c r="A4" t="s">
        <v>44</v>
      </c>
      <c r="B4" t="s">
        <v>32</v>
      </c>
      <c r="C4">
        <v>1.980674441062602</v>
      </c>
      <c r="D4" t="s">
        <v>21</v>
      </c>
      <c r="E4">
        <v>55</v>
      </c>
      <c r="F4">
        <v>-108.93709425844311</v>
      </c>
    </row>
    <row r="5" spans="1:6" x14ac:dyDescent="0.25">
      <c r="A5" t="s">
        <v>44</v>
      </c>
      <c r="B5" t="s">
        <v>33</v>
      </c>
      <c r="C5">
        <v>80.350371165810785</v>
      </c>
      <c r="D5" t="s">
        <v>22</v>
      </c>
      <c r="E5">
        <v>70</v>
      </c>
      <c r="F5">
        <v>5624.5259816067546</v>
      </c>
    </row>
    <row r="6" spans="1:6" x14ac:dyDescent="0.25">
      <c r="A6" t="s">
        <v>44</v>
      </c>
      <c r="B6" t="s">
        <v>34</v>
      </c>
      <c r="C6">
        <v>72.69968569499116</v>
      </c>
      <c r="D6" t="s">
        <v>21</v>
      </c>
      <c r="E6">
        <v>73</v>
      </c>
      <c r="F6">
        <v>-5307.0770557343549</v>
      </c>
    </row>
    <row r="7" spans="1:6" x14ac:dyDescent="0.25">
      <c r="A7" t="s">
        <v>44</v>
      </c>
      <c r="B7" t="s">
        <v>35</v>
      </c>
      <c r="C7">
        <v>2.3023439265181689</v>
      </c>
      <c r="D7" t="s">
        <v>22</v>
      </c>
      <c r="E7">
        <v>72</v>
      </c>
      <c r="F7">
        <v>165.76876270930816</v>
      </c>
    </row>
    <row r="8" spans="1:6" x14ac:dyDescent="0.25">
      <c r="A8" t="s">
        <v>44</v>
      </c>
      <c r="B8" t="s">
        <v>36</v>
      </c>
      <c r="C8">
        <v>55.561069167755747</v>
      </c>
      <c r="D8" t="s">
        <v>21</v>
      </c>
      <c r="E8">
        <v>16</v>
      </c>
      <c r="F8">
        <v>-888.97710668409195</v>
      </c>
    </row>
    <row r="9" spans="1:6" x14ac:dyDescent="0.25">
      <c r="A9" t="s">
        <v>44</v>
      </c>
      <c r="B9" t="s">
        <v>37</v>
      </c>
      <c r="C9">
        <v>22.079198782715416</v>
      </c>
      <c r="D9" t="s">
        <v>21</v>
      </c>
      <c r="E9">
        <v>28</v>
      </c>
      <c r="F9">
        <v>-618.21756591603162</v>
      </c>
    </row>
    <row r="10" spans="1:6" x14ac:dyDescent="0.25">
      <c r="A10" t="s">
        <v>44</v>
      </c>
      <c r="B10" t="s">
        <v>38</v>
      </c>
      <c r="C10">
        <v>58.384990044273707</v>
      </c>
      <c r="D10" t="s">
        <v>22</v>
      </c>
      <c r="E10">
        <v>6</v>
      </c>
      <c r="F10">
        <v>350.30994026564224</v>
      </c>
    </row>
    <row r="11" spans="1:6" x14ac:dyDescent="0.25">
      <c r="A11" t="s">
        <v>44</v>
      </c>
      <c r="B11" t="s">
        <v>39</v>
      </c>
      <c r="C11">
        <v>9.0978226032286109</v>
      </c>
      <c r="D11" t="s">
        <v>22</v>
      </c>
      <c r="E11">
        <v>59</v>
      </c>
      <c r="F11">
        <v>536.77153359048805</v>
      </c>
    </row>
    <row r="12" spans="1:6" x14ac:dyDescent="0.25">
      <c r="A12" t="s">
        <v>44</v>
      </c>
      <c r="B12" t="s">
        <v>40</v>
      </c>
      <c r="C12">
        <v>61.873807747649046</v>
      </c>
      <c r="D12" t="s">
        <v>21</v>
      </c>
      <c r="E12">
        <v>48</v>
      </c>
      <c r="F12">
        <v>-2969.9427718871543</v>
      </c>
    </row>
    <row r="13" spans="1:6" x14ac:dyDescent="0.25">
      <c r="A13" t="s">
        <v>44</v>
      </c>
      <c r="B13" t="s">
        <v>41</v>
      </c>
      <c r="C13">
        <v>24.721080831260977</v>
      </c>
      <c r="D13" t="s">
        <v>22</v>
      </c>
      <c r="E13">
        <v>75</v>
      </c>
      <c r="F13">
        <v>1854.0810623445732</v>
      </c>
    </row>
    <row r="14" spans="1:6" x14ac:dyDescent="0.25">
      <c r="A14" t="s">
        <v>44</v>
      </c>
      <c r="B14" t="s">
        <v>42</v>
      </c>
      <c r="C14">
        <v>44.687159994176319</v>
      </c>
      <c r="D14" t="s">
        <v>22</v>
      </c>
      <c r="E14">
        <v>6</v>
      </c>
      <c r="F14">
        <v>268.12295996505793</v>
      </c>
    </row>
    <row r="15" spans="1:6" x14ac:dyDescent="0.25">
      <c r="A15" t="s">
        <v>44</v>
      </c>
      <c r="B15" t="s">
        <v>43</v>
      </c>
      <c r="C15">
        <v>61.846107727940733</v>
      </c>
      <c r="D15" t="s">
        <v>21</v>
      </c>
      <c r="E15">
        <v>40</v>
      </c>
      <c r="F15">
        <v>-2473.8443091176296</v>
      </c>
    </row>
    <row r="16" spans="1:6" x14ac:dyDescent="0.25">
      <c r="A16" s="22" t="s">
        <v>48</v>
      </c>
      <c r="B16" s="22"/>
      <c r="C16" s="22"/>
      <c r="D16" s="22"/>
      <c r="E16" s="22"/>
      <c r="F16">
        <v>-3214.8745596624121</v>
      </c>
    </row>
  </sheetData>
  <mergeCells count="1">
    <mergeCell ref="A16:E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5"/>
  <sheetViews>
    <sheetView workbookViewId="0">
      <selection activeCell="B1" sqref="B1:C15"/>
    </sheetView>
  </sheetViews>
  <sheetFormatPr defaultRowHeight="15" x14ac:dyDescent="0.25"/>
  <sheetData>
    <row r="1" spans="1:3" x14ac:dyDescent="0.25">
      <c r="A1" t="s">
        <v>18</v>
      </c>
      <c r="B1" t="s">
        <v>0</v>
      </c>
      <c r="C1" t="s">
        <v>29</v>
      </c>
    </row>
    <row r="2" spans="1:3" x14ac:dyDescent="0.25">
      <c r="A2" t="s">
        <v>44</v>
      </c>
      <c r="B2" t="s">
        <v>30</v>
      </c>
      <c r="C2">
        <v>85.597225735707966</v>
      </c>
    </row>
    <row r="3" spans="1:3" x14ac:dyDescent="0.25">
      <c r="A3" t="s">
        <v>44</v>
      </c>
      <c r="B3" t="s">
        <v>31</v>
      </c>
      <c r="C3">
        <v>85.760970905234373</v>
      </c>
    </row>
    <row r="4" spans="1:3" x14ac:dyDescent="0.25">
      <c r="A4" t="s">
        <v>44</v>
      </c>
      <c r="B4" t="s">
        <v>32</v>
      </c>
      <c r="C4">
        <v>1.980674441062602</v>
      </c>
    </row>
    <row r="5" spans="1:3" x14ac:dyDescent="0.25">
      <c r="A5" t="s">
        <v>44</v>
      </c>
      <c r="B5" t="s">
        <v>33</v>
      </c>
      <c r="C5">
        <v>80.350371165810785</v>
      </c>
    </row>
    <row r="6" spans="1:3" x14ac:dyDescent="0.25">
      <c r="A6" t="s">
        <v>44</v>
      </c>
      <c r="B6" t="s">
        <v>34</v>
      </c>
      <c r="C6">
        <v>72.69968569499116</v>
      </c>
    </row>
    <row r="7" spans="1:3" x14ac:dyDescent="0.25">
      <c r="A7" t="s">
        <v>44</v>
      </c>
      <c r="B7" t="s">
        <v>35</v>
      </c>
      <c r="C7">
        <v>2.3023439265181689</v>
      </c>
    </row>
    <row r="8" spans="1:3" x14ac:dyDescent="0.25">
      <c r="A8" t="s">
        <v>44</v>
      </c>
      <c r="B8" t="s">
        <v>36</v>
      </c>
      <c r="C8">
        <v>55.561069167755747</v>
      </c>
    </row>
    <row r="9" spans="1:3" x14ac:dyDescent="0.25">
      <c r="A9" t="s">
        <v>44</v>
      </c>
      <c r="B9" t="s">
        <v>37</v>
      </c>
      <c r="C9">
        <v>22.079198782715416</v>
      </c>
    </row>
    <row r="10" spans="1:3" x14ac:dyDescent="0.25">
      <c r="A10" t="s">
        <v>44</v>
      </c>
      <c r="B10" t="s">
        <v>38</v>
      </c>
      <c r="C10">
        <v>58.384990044273707</v>
      </c>
    </row>
    <row r="11" spans="1:3" x14ac:dyDescent="0.25">
      <c r="A11" t="s">
        <v>44</v>
      </c>
      <c r="B11" t="s">
        <v>39</v>
      </c>
      <c r="C11">
        <v>9.0978226032286109</v>
      </c>
    </row>
    <row r="12" spans="1:3" x14ac:dyDescent="0.25">
      <c r="A12" t="s">
        <v>44</v>
      </c>
      <c r="B12" t="s">
        <v>40</v>
      </c>
      <c r="C12">
        <v>61.873807747649046</v>
      </c>
    </row>
    <row r="13" spans="1:3" x14ac:dyDescent="0.25">
      <c r="A13" t="s">
        <v>44</v>
      </c>
      <c r="B13" t="s">
        <v>41</v>
      </c>
      <c r="C13">
        <v>24.721080831260977</v>
      </c>
    </row>
    <row r="14" spans="1:3" x14ac:dyDescent="0.25">
      <c r="A14" t="s">
        <v>44</v>
      </c>
      <c r="B14" t="s">
        <v>42</v>
      </c>
      <c r="C14">
        <v>44.687159994176319</v>
      </c>
    </row>
    <row r="15" spans="1:3" x14ac:dyDescent="0.25">
      <c r="A15" t="s">
        <v>44</v>
      </c>
      <c r="B15" t="s">
        <v>43</v>
      </c>
      <c r="C15">
        <v>61.846107727940733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Dashboard</vt:lpstr>
      <vt:lpstr>Portfolio_Growth</vt:lpstr>
      <vt:lpstr>Current_Position</vt:lpstr>
      <vt:lpstr>Trans_28072020</vt:lpstr>
      <vt:lpstr>Prices_28072020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2020-07-27T22:07:43Z</dcterms:created>
  <dcterms:modified xsi:type="dcterms:W3CDTF">2020-07-29T21:20:23Z</dcterms:modified>
</cp:coreProperties>
</file>